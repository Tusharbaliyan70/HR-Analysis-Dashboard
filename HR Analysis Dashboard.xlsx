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163eba919048c7cb/Documents/"/>
    </mc:Choice>
  </mc:AlternateContent>
  <xr:revisionPtr revIDLastSave="3750" documentId="8_{8BCA76FB-B4EF-4B35-BF3D-7F594EC84238}" xr6:coauthVersionLast="47" xr6:coauthVersionMax="47" xr10:uidLastSave="{15F63AE1-6870-40D5-8011-FDCCD92FD88C}"/>
  <bookViews>
    <workbookView xWindow="-120" yWindow="-120" windowWidth="20730" windowHeight="11040" firstSheet="6" activeTab="9" xr2:uid="{00000000-000D-0000-FFFF-FFFF00000000}"/>
  </bookViews>
  <sheets>
    <sheet name="Gender and Department Wise" sheetId="2" r:id="rId1"/>
    <sheet name="Department Wise Attrition" sheetId="3" r:id="rId2"/>
    <sheet name="Department and performance Wise" sheetId="5" r:id="rId3"/>
    <sheet name="Department and Salary Wise" sheetId="4" r:id="rId4"/>
    <sheet name="Age and Attrition Wise" sheetId="6" r:id="rId5"/>
    <sheet name="Joining Date Wise" sheetId="7" r:id="rId6"/>
    <sheet name="Exit with in 2 Year" sheetId="8" r:id="rId7"/>
    <sheet name="HR_Data" sheetId="1" r:id="rId8"/>
    <sheet name="Sheet2" sheetId="10" r:id="rId9"/>
    <sheet name="Dashboard" sheetId="9" r:id="rId10"/>
    <sheet name="Sheet3" sheetId="11" r:id="rId11"/>
  </sheets>
  <definedNames>
    <definedName name="Slicer_Attrition">#N/A</definedName>
    <definedName name="Slicer_Department">#N/A</definedName>
    <definedName name="Slicer_Gender">#N/A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a="1"/>
  <c r="O2" i="1" s="1"/>
  <c r="J46" i="10"/>
  <c r="K2" i="1"/>
  <c r="K5" i="1"/>
  <c r="K9" i="1"/>
  <c r="K10" i="1"/>
  <c r="K14" i="1"/>
  <c r="K16" i="1"/>
  <c r="K18" i="1"/>
  <c r="K23" i="1"/>
  <c r="K27" i="1"/>
  <c r="K28" i="1"/>
  <c r="K29" i="1"/>
  <c r="K30" i="1"/>
  <c r="K31" i="1"/>
  <c r="K33" i="1"/>
  <c r="K34" i="1"/>
  <c r="K37" i="1"/>
  <c r="K42" i="1"/>
  <c r="K43" i="1"/>
  <c r="K44" i="1"/>
  <c r="K49" i="1"/>
  <c r="K51" i="1"/>
  <c r="K52" i="1"/>
  <c r="K53" i="1"/>
  <c r="K56" i="1"/>
  <c r="K60" i="1"/>
  <c r="K62" i="1"/>
  <c r="K63" i="1"/>
  <c r="K65" i="1"/>
  <c r="K66" i="1"/>
  <c r="K69" i="1"/>
  <c r="K70" i="1"/>
  <c r="K72" i="1"/>
  <c r="K74" i="1"/>
  <c r="K76" i="1"/>
  <c r="K78" i="1"/>
  <c r="K79" i="1"/>
  <c r="K82" i="1"/>
  <c r="K83" i="1"/>
  <c r="K85" i="1"/>
  <c r="K88" i="1"/>
  <c r="K91" i="1"/>
  <c r="K92" i="1"/>
  <c r="K95" i="1"/>
  <c r="K96" i="1"/>
  <c r="K97" i="1"/>
  <c r="K98" i="1"/>
  <c r="K99" i="1"/>
  <c r="K102" i="1"/>
  <c r="K105" i="1"/>
  <c r="K106" i="1"/>
  <c r="K110" i="1"/>
  <c r="K111" i="1"/>
  <c r="K116" i="1"/>
  <c r="K119" i="1"/>
  <c r="K120" i="1"/>
  <c r="K121" i="1"/>
  <c r="K124" i="1"/>
  <c r="K125" i="1"/>
  <c r="K126" i="1"/>
  <c r="K128" i="1"/>
  <c r="K129" i="1"/>
  <c r="K136" i="1"/>
  <c r="K138" i="1"/>
  <c r="K139" i="1"/>
  <c r="K142" i="1"/>
  <c r="K147" i="1"/>
  <c r="K150" i="1"/>
  <c r="K152" i="1"/>
  <c r="K153" i="1"/>
  <c r="K156" i="1"/>
  <c r="K157" i="1"/>
  <c r="K158" i="1"/>
  <c r="K163" i="1"/>
  <c r="K164" i="1"/>
  <c r="K168" i="1"/>
  <c r="K169" i="1"/>
  <c r="K171" i="1"/>
  <c r="K172" i="1"/>
  <c r="K174" i="1"/>
  <c r="K175" i="1"/>
  <c r="K177" i="1"/>
  <c r="K180" i="1"/>
  <c r="K190" i="1"/>
  <c r="K191" i="1"/>
  <c r="K192" i="1"/>
  <c r="K195" i="1"/>
  <c r="K196" i="1"/>
  <c r="K200" i="1"/>
  <c r="K201" i="1"/>
  <c r="K203" i="1"/>
  <c r="K204" i="1"/>
  <c r="K206" i="1"/>
  <c r="K208" i="1"/>
  <c r="K210" i="1"/>
  <c r="K211" i="1"/>
  <c r="K212" i="1"/>
  <c r="K215" i="1"/>
  <c r="K216" i="1"/>
  <c r="K218" i="1"/>
  <c r="K219" i="1"/>
  <c r="K222" i="1"/>
  <c r="K223" i="1"/>
  <c r="K226" i="1"/>
  <c r="K227" i="1"/>
  <c r="K228" i="1"/>
  <c r="K232" i="1"/>
  <c r="K233" i="1"/>
  <c r="K234" i="1"/>
  <c r="K235" i="1"/>
  <c r="K237" i="1"/>
  <c r="K238" i="1"/>
  <c r="K239" i="1"/>
  <c r="K242" i="1"/>
  <c r="K243" i="1"/>
  <c r="K244" i="1"/>
  <c r="K249" i="1"/>
  <c r="K250" i="1"/>
  <c r="K251" i="1"/>
  <c r="K253" i="1"/>
  <c r="K255" i="1"/>
  <c r="K256" i="1"/>
  <c r="K258" i="1"/>
  <c r="K259" i="1"/>
  <c r="K261" i="1"/>
  <c r="K262" i="1"/>
  <c r="K263" i="1"/>
  <c r="K265" i="1"/>
  <c r="K266" i="1"/>
  <c r="K267" i="1"/>
  <c r="K268" i="1"/>
  <c r="K269" i="1"/>
  <c r="K272" i="1"/>
  <c r="K273" i="1"/>
  <c r="K274" i="1"/>
  <c r="K275" i="1"/>
  <c r="K276" i="1"/>
  <c r="K278" i="1"/>
  <c r="K279" i="1"/>
  <c r="K283" i="1"/>
  <c r="K284" i="1"/>
  <c r="K287" i="1"/>
  <c r="K288" i="1"/>
  <c r="K290" i="1"/>
  <c r="K292" i="1"/>
  <c r="K293" i="1"/>
  <c r="K294" i="1"/>
  <c r="K296" i="1"/>
  <c r="K297" i="1"/>
  <c r="K298" i="1"/>
  <c r="K301" i="1"/>
  <c r="P2" i="1"/>
  <c r="Q2" i="1"/>
  <c r="N171" i="1"/>
  <c r="N5" i="1"/>
  <c r="N9" i="1"/>
  <c r="N10" i="1"/>
  <c r="N14" i="1"/>
  <c r="N16" i="1"/>
  <c r="N18" i="1"/>
  <c r="N23" i="1"/>
  <c r="N27" i="1"/>
  <c r="N28" i="1"/>
  <c r="N29" i="1"/>
  <c r="N30" i="1"/>
  <c r="N31" i="1"/>
  <c r="N33" i="1"/>
  <c r="N34" i="1"/>
  <c r="N37" i="1"/>
  <c r="N42" i="1"/>
  <c r="N43" i="1"/>
  <c r="N44" i="1"/>
  <c r="N49" i="1"/>
  <c r="N51" i="1"/>
  <c r="N52" i="1"/>
  <c r="N53" i="1"/>
  <c r="N56" i="1"/>
  <c r="N58" i="1"/>
  <c r="N60" i="1"/>
  <c r="N62" i="1"/>
  <c r="N63" i="1"/>
  <c r="N65" i="1"/>
  <c r="N66" i="1"/>
  <c r="N69" i="1"/>
  <c r="N70" i="1"/>
  <c r="N72" i="1"/>
  <c r="N74" i="1"/>
  <c r="N76" i="1"/>
  <c r="N78" i="1"/>
  <c r="N79" i="1"/>
  <c r="N82" i="1"/>
  <c r="N83" i="1"/>
  <c r="N85" i="1"/>
  <c r="N88" i="1"/>
  <c r="N91" i="1"/>
  <c r="N92" i="1"/>
  <c r="N95" i="1"/>
  <c r="N96" i="1"/>
  <c r="N97" i="1"/>
  <c r="N98" i="1"/>
  <c r="N99" i="1"/>
  <c r="N102" i="1"/>
  <c r="N105" i="1"/>
  <c r="N106" i="1"/>
  <c r="N110" i="1"/>
  <c r="N111" i="1"/>
  <c r="N116" i="1"/>
  <c r="N119" i="1"/>
  <c r="N120" i="1"/>
  <c r="N121" i="1"/>
  <c r="N124" i="1"/>
  <c r="N125" i="1"/>
  <c r="N126" i="1"/>
  <c r="N128" i="1"/>
  <c r="N129" i="1"/>
  <c r="N136" i="1"/>
  <c r="N138" i="1"/>
  <c r="N139" i="1"/>
  <c r="N142" i="1"/>
  <c r="N147" i="1"/>
  <c r="N150" i="1"/>
  <c r="N152" i="1"/>
  <c r="N153" i="1"/>
  <c r="N156" i="1"/>
  <c r="N157" i="1"/>
  <c r="N158" i="1"/>
  <c r="N163" i="1"/>
  <c r="N164" i="1"/>
  <c r="N168" i="1"/>
  <c r="N169" i="1"/>
  <c r="N172" i="1"/>
  <c r="N174" i="1"/>
  <c r="N175" i="1"/>
  <c r="N177" i="1"/>
  <c r="N180" i="1"/>
  <c r="N190" i="1"/>
  <c r="N191" i="1"/>
  <c r="N192" i="1"/>
  <c r="N195" i="1"/>
  <c r="N196" i="1"/>
  <c r="N200" i="1"/>
  <c r="N201" i="1"/>
  <c r="N203" i="1"/>
  <c r="N204" i="1"/>
  <c r="N206" i="1"/>
  <c r="N208" i="1"/>
  <c r="N210" i="1"/>
  <c r="N211" i="1"/>
  <c r="N212" i="1"/>
  <c r="N215" i="1"/>
  <c r="N216" i="1"/>
  <c r="N218" i="1"/>
  <c r="N219" i="1"/>
  <c r="N222" i="1"/>
  <c r="N223" i="1"/>
  <c r="N226" i="1"/>
  <c r="N227" i="1"/>
  <c r="N228" i="1"/>
  <c r="N232" i="1"/>
  <c r="N233" i="1"/>
  <c r="N234" i="1"/>
  <c r="N235" i="1"/>
  <c r="N237" i="1"/>
  <c r="N238" i="1"/>
  <c r="N239" i="1"/>
  <c r="N242" i="1"/>
  <c r="N243" i="1"/>
  <c r="N244" i="1"/>
  <c r="N249" i="1"/>
  <c r="N250" i="1"/>
  <c r="N251" i="1"/>
  <c r="N253" i="1"/>
  <c r="N255" i="1"/>
  <c r="N256" i="1"/>
  <c r="N258" i="1"/>
  <c r="N259" i="1"/>
  <c r="N261" i="1"/>
  <c r="N262" i="1"/>
  <c r="N263" i="1"/>
  <c r="N265" i="1"/>
  <c r="N266" i="1"/>
  <c r="N267" i="1"/>
  <c r="N268" i="1"/>
  <c r="N269" i="1"/>
  <c r="N272" i="1"/>
  <c r="N273" i="1"/>
  <c r="N274" i="1"/>
  <c r="N275" i="1"/>
  <c r="N276" i="1"/>
  <c r="N278" i="1"/>
  <c r="N279" i="1"/>
  <c r="N283" i="1"/>
  <c r="N284" i="1"/>
  <c r="N287" i="1"/>
  <c r="N288" i="1"/>
  <c r="N290" i="1"/>
  <c r="N292" i="1"/>
  <c r="N293" i="1"/>
  <c r="N294" i="1"/>
  <c r="N296" i="1"/>
  <c r="N297" i="1"/>
  <c r="N298" i="1"/>
  <c r="N301" i="1"/>
  <c r="N2" i="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2" i="1" a="1"/>
  <c r="M2"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P46" i="10"/>
  <c r="L46" i="10"/>
  <c r="B46" i="10"/>
  <c r="E46" i="10"/>
  <c r="N46" i="10"/>
  <c r="H46"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<sst xmlns="http://schemas.openxmlformats.org/spreadsheetml/2006/main" count="2128" uniqueCount="787">
  <si>
    <t>Employee_ID</t>
  </si>
  <si>
    <t>Name</t>
  </si>
  <si>
    <t>Department</t>
  </si>
  <si>
    <t>Gender</t>
  </si>
  <si>
    <t>Age</t>
  </si>
  <si>
    <t>Joining_Date</t>
  </si>
  <si>
    <t>Exit_Date</t>
  </si>
  <si>
    <t>Salary</t>
  </si>
  <si>
    <t>Attrition</t>
  </si>
  <si>
    <t>Performance_Rating</t>
  </si>
  <si>
    <t>E001</t>
  </si>
  <si>
    <t>Anjali</t>
  </si>
  <si>
    <t>Marketing</t>
  </si>
  <si>
    <t>Male</t>
  </si>
  <si>
    <t>2016-05-21</t>
  </si>
  <si>
    <t>2017-11-30</t>
  </si>
  <si>
    <t>Yes</t>
  </si>
  <si>
    <t>E002</t>
  </si>
  <si>
    <t>Priya</t>
  </si>
  <si>
    <t>Finance</t>
  </si>
  <si>
    <t>Female</t>
  </si>
  <si>
    <t>2018-06-12</t>
  </si>
  <si>
    <t>No</t>
  </si>
  <si>
    <t>E003</t>
  </si>
  <si>
    <t>HR</t>
  </si>
  <si>
    <t>2015-12-25</t>
  </si>
  <si>
    <t>E004</t>
  </si>
  <si>
    <t>IT</t>
  </si>
  <si>
    <t>2016-02-14</t>
  </si>
  <si>
    <t>2016-04-19</t>
  </si>
  <si>
    <t>E005</t>
  </si>
  <si>
    <t>2015-08-11</t>
  </si>
  <si>
    <t>E006</t>
  </si>
  <si>
    <t>Neha</t>
  </si>
  <si>
    <t>Sales</t>
  </si>
  <si>
    <t>2015-09-26</t>
  </si>
  <si>
    <t>E007</t>
  </si>
  <si>
    <t>Rahul</t>
  </si>
  <si>
    <t>2017-02-26</t>
  </si>
  <si>
    <t>E008</t>
  </si>
  <si>
    <t>Sneha</t>
  </si>
  <si>
    <t>2018-06-13</t>
  </si>
  <si>
    <t>2019-09-26</t>
  </si>
  <si>
    <t>E009</t>
  </si>
  <si>
    <t>Rohit</t>
  </si>
  <si>
    <t>2017-01-26</t>
  </si>
  <si>
    <t>2017-07-31</t>
  </si>
  <si>
    <t>E010</t>
  </si>
  <si>
    <t>2016-12-31</t>
  </si>
  <si>
    <t>E011</t>
  </si>
  <si>
    <t>2019-09-19</t>
  </si>
  <si>
    <t>E012</t>
  </si>
  <si>
    <t>Amit</t>
  </si>
  <si>
    <t>2021-07-03</t>
  </si>
  <si>
    <t>E013</t>
  </si>
  <si>
    <t>2016-08-30</t>
  </si>
  <si>
    <t>2020-02-16</t>
  </si>
  <si>
    <t>E014</t>
  </si>
  <si>
    <t>Arjun</t>
  </si>
  <si>
    <t>2022-07-10</t>
  </si>
  <si>
    <t>E015</t>
  </si>
  <si>
    <t>2017-03-29</t>
  </si>
  <si>
    <t>2018-06-26</t>
  </si>
  <si>
    <t>E016</t>
  </si>
  <si>
    <t>2020-12-21</t>
  </si>
  <si>
    <t>E017</t>
  </si>
  <si>
    <t>2016-09-25</t>
  </si>
  <si>
    <t>2019-11-03</t>
  </si>
  <si>
    <t>E018</t>
  </si>
  <si>
    <t>2020-02-11</t>
  </si>
  <si>
    <t>E019</t>
  </si>
  <si>
    <t>2019-06-07</t>
  </si>
  <si>
    <t>E020</t>
  </si>
  <si>
    <t>Pooja</t>
  </si>
  <si>
    <t>2019-02-18</t>
  </si>
  <si>
    <t>E021</t>
  </si>
  <si>
    <t>2021-05-07</t>
  </si>
  <si>
    <t>E022</t>
  </si>
  <si>
    <t>2019-01-17</t>
  </si>
  <si>
    <t>2022-06-09</t>
  </si>
  <si>
    <t>E023</t>
  </si>
  <si>
    <t>2022-01-02</t>
  </si>
  <si>
    <t>E024</t>
  </si>
  <si>
    <t>Karan</t>
  </si>
  <si>
    <t>2021-06-07</t>
  </si>
  <si>
    <t>E025</t>
  </si>
  <si>
    <t>2019-12-14</t>
  </si>
  <si>
    <t>E026</t>
  </si>
  <si>
    <t>2018-07-25</t>
  </si>
  <si>
    <t>2019-04-15</t>
  </si>
  <si>
    <t>E027</t>
  </si>
  <si>
    <t>2016-12-12</t>
  </si>
  <si>
    <t>2020-07-16</t>
  </si>
  <si>
    <t>E028</t>
  </si>
  <si>
    <t>2022-03-03</t>
  </si>
  <si>
    <t>2023-04-20</t>
  </si>
  <si>
    <t>E029</t>
  </si>
  <si>
    <t>2018-07-18</t>
  </si>
  <si>
    <t>2019-06-18</t>
  </si>
  <si>
    <t>E030</t>
  </si>
  <si>
    <t>2022-01-12</t>
  </si>
  <si>
    <t>2023-04-09</t>
  </si>
  <si>
    <t>E031</t>
  </si>
  <si>
    <t>2020-01-25</t>
  </si>
  <si>
    <t>E032</t>
  </si>
  <si>
    <t>2016-11-26</t>
  </si>
  <si>
    <t>2017-09-12</t>
  </si>
  <si>
    <t>E033</t>
  </si>
  <si>
    <t>2021-12-27</t>
  </si>
  <si>
    <t>2026-01-27</t>
  </si>
  <si>
    <t>E034</t>
  </si>
  <si>
    <t>2016-07-06</t>
  </si>
  <si>
    <t>E035</t>
  </si>
  <si>
    <t>2020-07-26</t>
  </si>
  <si>
    <t>E036</t>
  </si>
  <si>
    <t>2019-08-05</t>
  </si>
  <si>
    <t>2022-06-14</t>
  </si>
  <si>
    <t>E037</t>
  </si>
  <si>
    <t>2021-09-28</t>
  </si>
  <si>
    <t>E038</t>
  </si>
  <si>
    <t>2015-06-01</t>
  </si>
  <si>
    <t>E039</t>
  </si>
  <si>
    <t>2017-04-03</t>
  </si>
  <si>
    <t>E040</t>
  </si>
  <si>
    <t>2016-09-18</t>
  </si>
  <si>
    <t>E041</t>
  </si>
  <si>
    <t>2018-08-06</t>
  </si>
  <si>
    <t>2021-12-18</t>
  </si>
  <si>
    <t>E042</t>
  </si>
  <si>
    <t>2017-04-17</t>
  </si>
  <si>
    <t>2021-04-01</t>
  </si>
  <si>
    <t>E043</t>
  </si>
  <si>
    <t>2021-01-25</t>
  </si>
  <si>
    <t>2024-04-30</t>
  </si>
  <si>
    <t>E044</t>
  </si>
  <si>
    <t>2015-03-31</t>
  </si>
  <si>
    <t>E045</t>
  </si>
  <si>
    <t>2020-02-25</t>
  </si>
  <si>
    <t>E046</t>
  </si>
  <si>
    <t>2016-09-12</t>
  </si>
  <si>
    <t>E047</t>
  </si>
  <si>
    <t>2020-01-04</t>
  </si>
  <si>
    <t>E048</t>
  </si>
  <si>
    <t>2021-07-07</t>
  </si>
  <si>
    <t>2025-06-23</t>
  </si>
  <si>
    <t>E049</t>
  </si>
  <si>
    <t>2020-06-14</t>
  </si>
  <si>
    <t>E050</t>
  </si>
  <si>
    <t>2020-10-22</t>
  </si>
  <si>
    <t>2022-11-23</t>
  </si>
  <si>
    <t>E051</t>
  </si>
  <si>
    <t>2022-03-30</t>
  </si>
  <si>
    <t>2022-06-05</t>
  </si>
  <si>
    <t>E052</t>
  </si>
  <si>
    <t>2017-12-09</t>
  </si>
  <si>
    <t>2020-01-02</t>
  </si>
  <si>
    <t>E053</t>
  </si>
  <si>
    <t>2015-10-31</t>
  </si>
  <si>
    <t>E054</t>
  </si>
  <si>
    <t>2018-09-03</t>
  </si>
  <si>
    <t>E055</t>
  </si>
  <si>
    <t>2020-12-16</t>
  </si>
  <si>
    <t>2023-02-14</t>
  </si>
  <si>
    <t>E056</t>
  </si>
  <si>
    <t>2020-03-06</t>
  </si>
  <si>
    <t>E057</t>
  </si>
  <si>
    <t>2017-11-03</t>
  </si>
  <si>
    <t>2019-11-11</t>
  </si>
  <si>
    <t>E058</t>
  </si>
  <si>
    <t>2016-11-10</t>
  </si>
  <si>
    <t>E059</t>
  </si>
  <si>
    <t>2015-09-04</t>
  </si>
  <si>
    <t>2018-10-01</t>
  </si>
  <si>
    <t>E060</t>
  </si>
  <si>
    <t>E061</t>
  </si>
  <si>
    <t>2020-07-13</t>
  </si>
  <si>
    <t>2023-10-31</t>
  </si>
  <si>
    <t>E062</t>
  </si>
  <si>
    <t>2023-02-28</t>
  </si>
  <si>
    <t>2026-07-05</t>
  </si>
  <si>
    <t>E063</t>
  </si>
  <si>
    <t>2020-04-03</t>
  </si>
  <si>
    <t>E064</t>
  </si>
  <si>
    <t>2019-11-19</t>
  </si>
  <si>
    <t>2022-06-13</t>
  </si>
  <si>
    <t>E065</t>
  </si>
  <si>
    <t>2016-06-10</t>
  </si>
  <si>
    <t>2017-01-04</t>
  </si>
  <si>
    <t>E066</t>
  </si>
  <si>
    <t>2016-06-03</t>
  </si>
  <si>
    <t>E067</t>
  </si>
  <si>
    <t>2017-12-02</t>
  </si>
  <si>
    <t>E068</t>
  </si>
  <si>
    <t>2017-10-02</t>
  </si>
  <si>
    <t>2019-09-14</t>
  </si>
  <si>
    <t>E069</t>
  </si>
  <si>
    <t>2021-04-18</t>
  </si>
  <si>
    <t>2025-03-16</t>
  </si>
  <si>
    <t>E070</t>
  </si>
  <si>
    <t>2021-01-01</t>
  </si>
  <si>
    <t>E071</t>
  </si>
  <si>
    <t>2018-11-04</t>
  </si>
  <si>
    <t>2019-01-01</t>
  </si>
  <si>
    <t>E072</t>
  </si>
  <si>
    <t>2019-08-10</t>
  </si>
  <si>
    <t>E073</t>
  </si>
  <si>
    <t>2018-03-01</t>
  </si>
  <si>
    <t>2020-12-28</t>
  </si>
  <si>
    <t>E074</t>
  </si>
  <si>
    <t>2020-11-06</t>
  </si>
  <si>
    <t>E075</t>
  </si>
  <si>
    <t>2021-10-19</t>
  </si>
  <si>
    <t>2023-07-19</t>
  </si>
  <si>
    <t>E076</t>
  </si>
  <si>
    <t>E077</t>
  </si>
  <si>
    <t>2019-04-14</t>
  </si>
  <si>
    <t>2019-06-27</t>
  </si>
  <si>
    <t>E078</t>
  </si>
  <si>
    <t>2018-08-30</t>
  </si>
  <si>
    <t>2019-05-20</t>
  </si>
  <si>
    <t>E079</t>
  </si>
  <si>
    <t>2020-05-02</t>
  </si>
  <si>
    <t>E080</t>
  </si>
  <si>
    <t>2017-07-28</t>
  </si>
  <si>
    <t>E081</t>
  </si>
  <si>
    <t>2020-12-08</t>
  </si>
  <si>
    <t>2023-10-22</t>
  </si>
  <si>
    <t>E082</t>
  </si>
  <si>
    <t>2021-12-12</t>
  </si>
  <si>
    <t>2025-06-26</t>
  </si>
  <si>
    <t>E083</t>
  </si>
  <si>
    <t>2019-03-21</t>
  </si>
  <si>
    <t>E084</t>
  </si>
  <si>
    <t>2021-05-27</t>
  </si>
  <si>
    <t>2021-11-09</t>
  </si>
  <si>
    <t>E085</t>
  </si>
  <si>
    <t>2017-01-27</t>
  </si>
  <si>
    <t>E086</t>
  </si>
  <si>
    <t>2019-12-06</t>
  </si>
  <si>
    <t>E087</t>
  </si>
  <si>
    <t>2015-07-20</t>
  </si>
  <si>
    <t>2016-08-19</t>
  </si>
  <si>
    <t>E088</t>
  </si>
  <si>
    <t>2022-11-11</t>
  </si>
  <si>
    <t>E089</t>
  </si>
  <si>
    <t>2019-01-05</t>
  </si>
  <si>
    <t>E090</t>
  </si>
  <si>
    <t>2018-10-23</t>
  </si>
  <si>
    <t>2020-10-01</t>
  </si>
  <si>
    <t>E091</t>
  </si>
  <si>
    <t>2018-07-15</t>
  </si>
  <si>
    <t>2021-09-03</t>
  </si>
  <si>
    <t>E092</t>
  </si>
  <si>
    <t>2022-11-03</t>
  </si>
  <si>
    <t>E093</t>
  </si>
  <si>
    <t>2022-11-28</t>
  </si>
  <si>
    <t>E094</t>
  </si>
  <si>
    <t>2021-01-28</t>
  </si>
  <si>
    <t>2024-10-06</t>
  </si>
  <si>
    <t>E095</t>
  </si>
  <si>
    <t>2016-07-03</t>
  </si>
  <si>
    <t>2016-08-15</t>
  </si>
  <si>
    <t>E096</t>
  </si>
  <si>
    <t>2017-04-13</t>
  </si>
  <si>
    <t>2018-07-27</t>
  </si>
  <si>
    <t>E097</t>
  </si>
  <si>
    <t>2020-06-20</t>
  </si>
  <si>
    <t>2022-02-02</t>
  </si>
  <si>
    <t>E098</t>
  </si>
  <si>
    <t>2022-05-31</t>
  </si>
  <si>
    <t>2024-09-27</t>
  </si>
  <si>
    <t>E099</t>
  </si>
  <si>
    <t>2017-04-14</t>
  </si>
  <si>
    <t>E100</t>
  </si>
  <si>
    <t>2022-10-30</t>
  </si>
  <si>
    <t>E101</t>
  </si>
  <si>
    <t>2017-03-27</t>
  </si>
  <si>
    <t>2020-06-04</t>
  </si>
  <si>
    <t>E102</t>
  </si>
  <si>
    <t>2015-07-19</t>
  </si>
  <si>
    <t>E103</t>
  </si>
  <si>
    <t>2015-05-12</t>
  </si>
  <si>
    <t>E104</t>
  </si>
  <si>
    <t>2017-03-06</t>
  </si>
  <si>
    <t>2017-09-02</t>
  </si>
  <si>
    <t>E105</t>
  </si>
  <si>
    <t>2015-07-04</t>
  </si>
  <si>
    <t>2015-09-11</t>
  </si>
  <si>
    <t>E106</t>
  </si>
  <si>
    <t>2018-02-28</t>
  </si>
  <si>
    <t>E107</t>
  </si>
  <si>
    <t>2019-06-19</t>
  </si>
  <si>
    <t>E108</t>
  </si>
  <si>
    <t>E109</t>
  </si>
  <si>
    <t>2019-05-27</t>
  </si>
  <si>
    <t>2022-03-11</t>
  </si>
  <si>
    <t>E110</t>
  </si>
  <si>
    <t>2015-07-06</t>
  </si>
  <si>
    <t>2017-08-27</t>
  </si>
  <si>
    <t>E111</t>
  </si>
  <si>
    <t>2016-01-08</t>
  </si>
  <si>
    <t>E112</t>
  </si>
  <si>
    <t>2021-04-15</t>
  </si>
  <si>
    <t>E113</t>
  </si>
  <si>
    <t>2021-09-24</t>
  </si>
  <si>
    <t>E114</t>
  </si>
  <si>
    <t>2018-02-12</t>
  </si>
  <si>
    <t>E115</t>
  </si>
  <si>
    <t>2021-02-14</t>
  </si>
  <si>
    <t>2023-04-17</t>
  </si>
  <si>
    <t>E116</t>
  </si>
  <si>
    <t>2016-10-12</t>
  </si>
  <si>
    <t>E117</t>
  </si>
  <si>
    <t>2021-10-30</t>
  </si>
  <si>
    <t>E118</t>
  </si>
  <si>
    <t>2016-02-15</t>
  </si>
  <si>
    <t>2017-09-04</t>
  </si>
  <si>
    <t>E119</t>
  </si>
  <si>
    <t>2017-03-13</t>
  </si>
  <si>
    <t>2019-06-29</t>
  </si>
  <si>
    <t>E120</t>
  </si>
  <si>
    <t>2018-08-19</t>
  </si>
  <si>
    <t>2019-02-08</t>
  </si>
  <si>
    <t>E121</t>
  </si>
  <si>
    <t>E122</t>
  </si>
  <si>
    <t>2017-01-29</t>
  </si>
  <si>
    <t>E123</t>
  </si>
  <si>
    <t>2018-12-05</t>
  </si>
  <si>
    <t>2021-12-20</t>
  </si>
  <si>
    <t>E124</t>
  </si>
  <si>
    <t>2023-03-20</t>
  </si>
  <si>
    <t>2025-06-18</t>
  </si>
  <si>
    <t>E125</t>
  </si>
  <si>
    <t>2018-06-16</t>
  </si>
  <si>
    <t>2019-12-13</t>
  </si>
  <si>
    <t>E126</t>
  </si>
  <si>
    <t>2021-05-13</t>
  </si>
  <si>
    <t>E127</t>
  </si>
  <si>
    <t>2019-03-14</t>
  </si>
  <si>
    <t>2020-02-22</t>
  </si>
  <si>
    <t>E128</t>
  </si>
  <si>
    <t>2022-02-23</t>
  </si>
  <si>
    <t>2024-06-04</t>
  </si>
  <si>
    <t>E129</t>
  </si>
  <si>
    <t>E130</t>
  </si>
  <si>
    <t>2021-09-19</t>
  </si>
  <si>
    <t>E131</t>
  </si>
  <si>
    <t>2019-08-01</t>
  </si>
  <si>
    <t>E132</t>
  </si>
  <si>
    <t>2015-02-12</t>
  </si>
  <si>
    <t>E133</t>
  </si>
  <si>
    <t>2021-05-19</t>
  </si>
  <si>
    <t>E134</t>
  </si>
  <si>
    <t>2018-02-24</t>
  </si>
  <si>
    <t>E135</t>
  </si>
  <si>
    <t>2017-03-07</t>
  </si>
  <si>
    <t>2018-11-01</t>
  </si>
  <si>
    <t>E136</t>
  </si>
  <si>
    <t>2022-08-30</t>
  </si>
  <si>
    <t>E137</t>
  </si>
  <si>
    <t>2018-04-10</t>
  </si>
  <si>
    <t>E138</t>
  </si>
  <si>
    <t>2023-02-02</t>
  </si>
  <si>
    <t>2025-06-24</t>
  </si>
  <si>
    <t>E139</t>
  </si>
  <si>
    <t>2016-07-19</t>
  </si>
  <si>
    <t>E140</t>
  </si>
  <si>
    <t>2017-07-11</t>
  </si>
  <si>
    <t>E141</t>
  </si>
  <si>
    <t>2021-10-07</t>
  </si>
  <si>
    <t>2023-11-18</t>
  </si>
  <si>
    <t>E142</t>
  </si>
  <si>
    <t>2018-10-27</t>
  </si>
  <si>
    <t>E143</t>
  </si>
  <si>
    <t>2018-04-30</t>
  </si>
  <si>
    <t>E144</t>
  </si>
  <si>
    <t>2015-12-01</t>
  </si>
  <si>
    <t>E145</t>
  </si>
  <si>
    <t>2018-12-28</t>
  </si>
  <si>
    <t>E146</t>
  </si>
  <si>
    <t>2022-01-01</t>
  </si>
  <si>
    <t>2022-08-15</t>
  </si>
  <si>
    <t>E147</t>
  </si>
  <si>
    <t>2020-11-07</t>
  </si>
  <si>
    <t>E148</t>
  </si>
  <si>
    <t>2016-06-15</t>
  </si>
  <si>
    <t>E149</t>
  </si>
  <si>
    <t>2023-01-21</t>
  </si>
  <si>
    <t>2025-09-23</t>
  </si>
  <si>
    <t>E150</t>
  </si>
  <si>
    <t>2020-02-23</t>
  </si>
  <si>
    <t>E151</t>
  </si>
  <si>
    <t>2021-10-31</t>
  </si>
  <si>
    <t>2025-11-07</t>
  </si>
  <si>
    <t>E152</t>
  </si>
  <si>
    <t>2024-12-29</t>
  </si>
  <si>
    <t>E153</t>
  </si>
  <si>
    <t>2022-11-09</t>
  </si>
  <si>
    <t>E154</t>
  </si>
  <si>
    <t>2019-10-21</t>
  </si>
  <si>
    <t>E155</t>
  </si>
  <si>
    <t>2022-06-27</t>
  </si>
  <si>
    <t>2025-04-15</t>
  </si>
  <si>
    <t>E156</t>
  </si>
  <si>
    <t>2021-09-17</t>
  </si>
  <si>
    <t>2022-11-12</t>
  </si>
  <si>
    <t>E157</t>
  </si>
  <si>
    <t>2019-12-07</t>
  </si>
  <si>
    <t>2021-03-23</t>
  </si>
  <si>
    <t>E158</t>
  </si>
  <si>
    <t>2016-05-18</t>
  </si>
  <si>
    <t>E159</t>
  </si>
  <si>
    <t>2017-06-30</t>
  </si>
  <si>
    <t>E160</t>
  </si>
  <si>
    <t>2022-06-18</t>
  </si>
  <si>
    <t>E161</t>
  </si>
  <si>
    <t>2015-08-19</t>
  </si>
  <si>
    <t>E162</t>
  </si>
  <si>
    <t>2016-10-31</t>
  </si>
  <si>
    <t>2020-01-10</t>
  </si>
  <si>
    <t>E163</t>
  </si>
  <si>
    <t>2016-03-25</t>
  </si>
  <si>
    <t>2019-09-21</t>
  </si>
  <si>
    <t>E164</t>
  </si>
  <si>
    <t>2021-03-30</t>
  </si>
  <si>
    <t>E165</t>
  </si>
  <si>
    <t>E166</t>
  </si>
  <si>
    <t>2020-02-27</t>
  </si>
  <si>
    <t>E167</t>
  </si>
  <si>
    <t>2021-03-21</t>
  </si>
  <si>
    <t>2024-10-29</t>
  </si>
  <si>
    <t>E168</t>
  </si>
  <si>
    <t>2022-07-14</t>
  </si>
  <si>
    <t>2024-03-14</t>
  </si>
  <si>
    <t>E169</t>
  </si>
  <si>
    <t>2019-11-01</t>
  </si>
  <si>
    <t>E170</t>
  </si>
  <si>
    <t>2015-01-15</t>
  </si>
  <si>
    <t>2016-08-02</t>
  </si>
  <si>
    <t>E171</t>
  </si>
  <si>
    <t>2022-05-19</t>
  </si>
  <si>
    <t>2025-02-06</t>
  </si>
  <si>
    <t>E172</t>
  </si>
  <si>
    <t>2020-11-27</t>
  </si>
  <si>
    <t>E173</t>
  </si>
  <si>
    <t>2016-10-16</t>
  </si>
  <si>
    <t>2017-06-19</t>
  </si>
  <si>
    <t>E174</t>
  </si>
  <si>
    <t>2016-09-06</t>
  </si>
  <si>
    <t>2019-05-23</t>
  </si>
  <si>
    <t>E175</t>
  </si>
  <si>
    <t>2019-06-04</t>
  </si>
  <si>
    <t>E176</t>
  </si>
  <si>
    <t>2021-08-03</t>
  </si>
  <si>
    <t>2024-05-30</t>
  </si>
  <si>
    <t>E177</t>
  </si>
  <si>
    <t>2020-11-28</t>
  </si>
  <si>
    <t>E178</t>
  </si>
  <si>
    <t>E179</t>
  </si>
  <si>
    <t>2020-12-23</t>
  </si>
  <si>
    <t>2023-06-11</t>
  </si>
  <si>
    <t>E180</t>
  </si>
  <si>
    <t>2020-10-16</t>
  </si>
  <si>
    <t>E181</t>
  </si>
  <si>
    <t>2020-08-17</t>
  </si>
  <si>
    <t>E182</t>
  </si>
  <si>
    <t>2015-04-06</t>
  </si>
  <si>
    <t>E183</t>
  </si>
  <si>
    <t>2017-12-06</t>
  </si>
  <si>
    <t>E184</t>
  </si>
  <si>
    <t>2017-08-02</t>
  </si>
  <si>
    <t>E185</t>
  </si>
  <si>
    <t>2020-07-05</t>
  </si>
  <si>
    <t>E186</t>
  </si>
  <si>
    <t>2017-07-02</t>
  </si>
  <si>
    <t>E187</t>
  </si>
  <si>
    <t>2020-08-04</t>
  </si>
  <si>
    <t>E188</t>
  </si>
  <si>
    <t>2020-02-17</t>
  </si>
  <si>
    <t>E189</t>
  </si>
  <si>
    <t>2021-04-14</t>
  </si>
  <si>
    <t>2023-06-05</t>
  </si>
  <si>
    <t>E190</t>
  </si>
  <si>
    <t>2016-12-03</t>
  </si>
  <si>
    <t>2017-01-13</t>
  </si>
  <si>
    <t>E191</t>
  </si>
  <si>
    <t>2016-04-02</t>
  </si>
  <si>
    <t>E192</t>
  </si>
  <si>
    <t>2020-04-24</t>
  </si>
  <si>
    <t>E193</t>
  </si>
  <si>
    <t>2022-09-13</t>
  </si>
  <si>
    <t>E194</t>
  </si>
  <si>
    <t>2021-03-22</t>
  </si>
  <si>
    <t>2023-11-16</t>
  </si>
  <si>
    <t>E195</t>
  </si>
  <si>
    <t>2017-12-07</t>
  </si>
  <si>
    <t>2018-04-03</t>
  </si>
  <si>
    <t>E196</t>
  </si>
  <si>
    <t>2017-04-24</t>
  </si>
  <si>
    <t>E197</t>
  </si>
  <si>
    <t>2018-01-01</t>
  </si>
  <si>
    <t>E198</t>
  </si>
  <si>
    <t>2017-09-01</t>
  </si>
  <si>
    <t>E199</t>
  </si>
  <si>
    <t>2016-04-23</t>
  </si>
  <si>
    <t>2019-08-19</t>
  </si>
  <si>
    <t>E200</t>
  </si>
  <si>
    <t>2018-04-13</t>
  </si>
  <si>
    <t>2020-11-01</t>
  </si>
  <si>
    <t>E201</t>
  </si>
  <si>
    <t>E202</t>
  </si>
  <si>
    <t>2018-11-24</t>
  </si>
  <si>
    <t>2021-12-16</t>
  </si>
  <si>
    <t>E203</t>
  </si>
  <si>
    <t>2017-08-07</t>
  </si>
  <si>
    <t>E204</t>
  </si>
  <si>
    <t>2018-03-30</t>
  </si>
  <si>
    <t>E205</t>
  </si>
  <si>
    <t>2019-12-15</t>
  </si>
  <si>
    <t>2020-09-27</t>
  </si>
  <si>
    <t>E206</t>
  </si>
  <si>
    <t>2022-01-24</t>
  </si>
  <si>
    <t>E207</t>
  </si>
  <si>
    <t>2016-08-27</t>
  </si>
  <si>
    <t>2018-07-29</t>
  </si>
  <si>
    <t>E208</t>
  </si>
  <si>
    <t>2023-02-20</t>
  </si>
  <si>
    <t>E209</t>
  </si>
  <si>
    <t>2017-04-08</t>
  </si>
  <si>
    <t>E210</t>
  </si>
  <si>
    <t>2023-03-01</t>
  </si>
  <si>
    <t>2025-07-22</t>
  </si>
  <si>
    <t>E211</t>
  </si>
  <si>
    <t>2020-08-21</t>
  </si>
  <si>
    <t>2022-08-12</t>
  </si>
  <si>
    <t>E212</t>
  </si>
  <si>
    <t>2018-10-02</t>
  </si>
  <si>
    <t>E213</t>
  </si>
  <si>
    <t>2018-10-29</t>
  </si>
  <si>
    <t>E214</t>
  </si>
  <si>
    <t>2017-01-03</t>
  </si>
  <si>
    <t>2020-01-27</t>
  </si>
  <si>
    <t>E215</t>
  </si>
  <si>
    <t>2020-07-27</t>
  </si>
  <si>
    <t>2023-03-26</t>
  </si>
  <si>
    <t>E216</t>
  </si>
  <si>
    <t>2021-02-19</t>
  </si>
  <si>
    <t>E217</t>
  </si>
  <si>
    <t>2022-01-15</t>
  </si>
  <si>
    <t>E218</t>
  </si>
  <si>
    <t>2021-01-04</t>
  </si>
  <si>
    <t>2024-08-24</t>
  </si>
  <si>
    <t>E219</t>
  </si>
  <si>
    <t>2020-08-14</t>
  </si>
  <si>
    <t>E220</t>
  </si>
  <si>
    <t>2015-05-28</t>
  </si>
  <si>
    <t>E221</t>
  </si>
  <si>
    <t>2021-03-29</t>
  </si>
  <si>
    <t>2023-09-01</t>
  </si>
  <si>
    <t>E222</t>
  </si>
  <si>
    <t>2020-09-10</t>
  </si>
  <si>
    <t>2022-06-29</t>
  </si>
  <si>
    <t>E223</t>
  </si>
  <si>
    <t>2017-09-27</t>
  </si>
  <si>
    <t>E224</t>
  </si>
  <si>
    <t>2015-03-09</t>
  </si>
  <si>
    <t>E225</t>
  </si>
  <si>
    <t>2016-03-13</t>
  </si>
  <si>
    <t>2018-09-24</t>
  </si>
  <si>
    <t>E226</t>
  </si>
  <si>
    <t>2018-10-08</t>
  </si>
  <si>
    <t>2020-04-10</t>
  </si>
  <si>
    <t>E227</t>
  </si>
  <si>
    <t>2022-11-29</t>
  </si>
  <si>
    <t>2023-05-31</t>
  </si>
  <si>
    <t>E228</t>
  </si>
  <si>
    <t>2023-02-27</t>
  </si>
  <si>
    <t>E229</t>
  </si>
  <si>
    <t>2021-08-28</t>
  </si>
  <si>
    <t>E230</t>
  </si>
  <si>
    <t>E231</t>
  </si>
  <si>
    <t>2018-02-25</t>
  </si>
  <si>
    <t>2021-04-10</t>
  </si>
  <si>
    <t>E232</t>
  </si>
  <si>
    <t>2024-07-20</t>
  </si>
  <si>
    <t>E233</t>
  </si>
  <si>
    <t>2015-12-02</t>
  </si>
  <si>
    <t>2016-12-02</t>
  </si>
  <si>
    <t>E234</t>
  </si>
  <si>
    <t>2016-09-22</t>
  </si>
  <si>
    <t>2018-07-10</t>
  </si>
  <si>
    <t>E235</t>
  </si>
  <si>
    <t>2016-12-07</t>
  </si>
  <si>
    <t>E236</t>
  </si>
  <si>
    <t>2022-12-31</t>
  </si>
  <si>
    <t>2027-01-21</t>
  </si>
  <si>
    <t>E237</t>
  </si>
  <si>
    <t>2015-12-28</t>
  </si>
  <si>
    <t>2019-06-10</t>
  </si>
  <si>
    <t>E238</t>
  </si>
  <si>
    <t>2019-07-12</t>
  </si>
  <si>
    <t>E239</t>
  </si>
  <si>
    <t>2019-01-03</t>
  </si>
  <si>
    <t>E240</t>
  </si>
  <si>
    <t>2019-08-25</t>
  </si>
  <si>
    <t>E241</t>
  </si>
  <si>
    <t>2021-01-03</t>
  </si>
  <si>
    <t>2022-08-14</t>
  </si>
  <si>
    <t>E242</t>
  </si>
  <si>
    <t>2023-02-08</t>
  </si>
  <si>
    <t>2026-02-14</t>
  </si>
  <si>
    <t>E243</t>
  </si>
  <si>
    <t>2015-10-29</t>
  </si>
  <si>
    <t>2018-09-13</t>
  </si>
  <si>
    <t>E244</t>
  </si>
  <si>
    <t>2017-05-11</t>
  </si>
  <si>
    <t>E245</t>
  </si>
  <si>
    <t>2023-01-25</t>
  </si>
  <si>
    <t>E246</t>
  </si>
  <si>
    <t>2015-10-17</t>
  </si>
  <si>
    <t>E247</t>
  </si>
  <si>
    <t>2022-03-22</t>
  </si>
  <si>
    <t>E248</t>
  </si>
  <si>
    <t>2016-07-14</t>
  </si>
  <si>
    <t>2019-08-27</t>
  </si>
  <si>
    <t>E249</t>
  </si>
  <si>
    <t>2015-05-06</t>
  </si>
  <si>
    <t>2017-08-06</t>
  </si>
  <si>
    <t>E250</t>
  </si>
  <si>
    <t>2015-03-24</t>
  </si>
  <si>
    <t>2017-10-12</t>
  </si>
  <si>
    <t>E251</t>
  </si>
  <si>
    <t>2018-11-28</t>
  </si>
  <si>
    <t>E252</t>
  </si>
  <si>
    <t>2019-10-14</t>
  </si>
  <si>
    <t>E253</t>
  </si>
  <si>
    <t>2022-09-28</t>
  </si>
  <si>
    <t>E254</t>
  </si>
  <si>
    <t>2019-08-04</t>
  </si>
  <si>
    <t>2020-09-25</t>
  </si>
  <si>
    <t>E255</t>
  </si>
  <si>
    <t>2019-05-08</t>
  </si>
  <si>
    <t>E256</t>
  </si>
  <si>
    <t>2018-01-09</t>
  </si>
  <si>
    <t>E257</t>
  </si>
  <si>
    <t>2020-01-07</t>
  </si>
  <si>
    <t>2021-10-24</t>
  </si>
  <si>
    <t>E258</t>
  </si>
  <si>
    <t>2019-09-15</t>
  </si>
  <si>
    <t>2020-09-30</t>
  </si>
  <si>
    <t>E259</t>
  </si>
  <si>
    <t>2018-10-24</t>
  </si>
  <si>
    <t>E260</t>
  </si>
  <si>
    <t>2016-04-07</t>
  </si>
  <si>
    <t>2017-10-30</t>
  </si>
  <si>
    <t>E261</t>
  </si>
  <si>
    <t>2018-05-23</t>
  </si>
  <si>
    <t>2022-06-04</t>
  </si>
  <si>
    <t>E262</t>
  </si>
  <si>
    <t>2020-08-09</t>
  </si>
  <si>
    <t>2024-02-14</t>
  </si>
  <si>
    <t>E263</t>
  </si>
  <si>
    <t>2016-04-27</t>
  </si>
  <si>
    <t>E264</t>
  </si>
  <si>
    <t>E265</t>
  </si>
  <si>
    <t>E266</t>
  </si>
  <si>
    <t>2017-04-02</t>
  </si>
  <si>
    <t>2020-07-11</t>
  </si>
  <si>
    <t>E267</t>
  </si>
  <si>
    <t>2016-01-10</t>
  </si>
  <si>
    <t>E268</t>
  </si>
  <si>
    <t>2023-02-13</t>
  </si>
  <si>
    <t>2024-09-01</t>
  </si>
  <si>
    <t>E269</t>
  </si>
  <si>
    <t>2019-07-31</t>
  </si>
  <si>
    <t>E270</t>
  </si>
  <si>
    <t>2019-10-23</t>
  </si>
  <si>
    <t>E271</t>
  </si>
  <si>
    <t>2022-07-17</t>
  </si>
  <si>
    <t>2025-11-26</t>
  </si>
  <si>
    <t>E272</t>
  </si>
  <si>
    <t>2015-10-21</t>
  </si>
  <si>
    <t>2017-08-05</t>
  </si>
  <si>
    <t>E273</t>
  </si>
  <si>
    <t>2023-07-07</t>
  </si>
  <si>
    <t>E274</t>
  </si>
  <si>
    <t>2017-10-08</t>
  </si>
  <si>
    <t>E275</t>
  </si>
  <si>
    <t>2018-09-01</t>
  </si>
  <si>
    <t>2019-01-10</t>
  </si>
  <si>
    <t>E276</t>
  </si>
  <si>
    <t>2018-12-03</t>
  </si>
  <si>
    <t>E277</t>
  </si>
  <si>
    <t>2021-07-21</t>
  </si>
  <si>
    <t>2023-11-10</t>
  </si>
  <si>
    <t>E278</t>
  </si>
  <si>
    <t>2021-04-13</t>
  </si>
  <si>
    <t>2022-08-10</t>
  </si>
  <si>
    <t>E279</t>
  </si>
  <si>
    <t>E280</t>
  </si>
  <si>
    <t>2017-10-28</t>
  </si>
  <si>
    <t>E281</t>
  </si>
  <si>
    <t>2020-02-12</t>
  </si>
  <si>
    <t>E282</t>
  </si>
  <si>
    <t>2018-12-06</t>
  </si>
  <si>
    <t>2020-11-23</t>
  </si>
  <si>
    <t>E283</t>
  </si>
  <si>
    <t>2022-08-06</t>
  </si>
  <si>
    <t>2025-09-06</t>
  </si>
  <si>
    <t>E284</t>
  </si>
  <si>
    <t>E285</t>
  </si>
  <si>
    <t>2020-11-05</t>
  </si>
  <si>
    <t>E286</t>
  </si>
  <si>
    <t>2021-11-17</t>
  </si>
  <si>
    <t>2022-03-08</t>
  </si>
  <si>
    <t>E287</t>
  </si>
  <si>
    <t>2019-08-02</t>
  </si>
  <si>
    <t>2020-11-29</t>
  </si>
  <si>
    <t>E288</t>
  </si>
  <si>
    <t>2019-04-01</t>
  </si>
  <si>
    <t>E289</t>
  </si>
  <si>
    <t>2021-07-24</t>
  </si>
  <si>
    <t>E290</t>
  </si>
  <si>
    <t>2015-05-27</t>
  </si>
  <si>
    <t>E291</t>
  </si>
  <si>
    <t>2017-05-04</t>
  </si>
  <si>
    <t>2017-07-30</t>
  </si>
  <si>
    <t>E292</t>
  </si>
  <si>
    <t>2021-03-05</t>
  </si>
  <si>
    <t>E293</t>
  </si>
  <si>
    <t>2017-10-23</t>
  </si>
  <si>
    <t>2018-09-23</t>
  </si>
  <si>
    <t>E294</t>
  </si>
  <si>
    <t>2019-03-20</t>
  </si>
  <si>
    <t>E295</t>
  </si>
  <si>
    <t>2017-08-23</t>
  </si>
  <si>
    <t>E296</t>
  </si>
  <si>
    <t>2015-05-23</t>
  </si>
  <si>
    <t>2018-02-01</t>
  </si>
  <si>
    <t>E297</t>
  </si>
  <si>
    <t>2020-06-03</t>
  </si>
  <si>
    <t>2020-08-13</t>
  </si>
  <si>
    <t>E298</t>
  </si>
  <si>
    <t>2020-01-31</t>
  </si>
  <si>
    <t>E299</t>
  </si>
  <si>
    <t>E300</t>
  </si>
  <si>
    <t>2016-11-23</t>
  </si>
  <si>
    <t>2017-05-23</t>
  </si>
  <si>
    <t>Row Labels</t>
  </si>
  <si>
    <t>Grand Total</t>
  </si>
  <si>
    <t>Column Labels</t>
  </si>
  <si>
    <t>Sum of Salary</t>
  </si>
  <si>
    <t>Experience</t>
  </si>
  <si>
    <t>Position</t>
  </si>
  <si>
    <t>Count of Gender</t>
  </si>
  <si>
    <t>Count of Attrition</t>
  </si>
  <si>
    <t>Performance level</t>
  </si>
  <si>
    <t>(All)</t>
  </si>
  <si>
    <t>High rating</t>
  </si>
  <si>
    <t>Low rating</t>
  </si>
  <si>
    <t>Medium rating</t>
  </si>
  <si>
    <t>Count of Department</t>
  </si>
  <si>
    <t xml:space="preserve"> </t>
  </si>
  <si>
    <t>22-26</t>
  </si>
  <si>
    <t>27-31</t>
  </si>
  <si>
    <t>32-36</t>
  </si>
  <si>
    <t>37-41</t>
  </si>
  <si>
    <t>42-46</t>
  </si>
  <si>
    <t>47-51</t>
  </si>
  <si>
    <t>exit with in 2year</t>
  </si>
  <si>
    <t>no</t>
  </si>
  <si>
    <t>yes</t>
  </si>
  <si>
    <t>Count of Employee_ID</t>
  </si>
  <si>
    <t>Attrition rate</t>
  </si>
  <si>
    <t>Average of Experience</t>
  </si>
  <si>
    <t>Average of Salary</t>
  </si>
  <si>
    <t>Average of Performance_Rating</t>
  </si>
  <si>
    <t>Total Employee</t>
  </si>
  <si>
    <t>Active Employee</t>
  </si>
  <si>
    <t>Exit Employee</t>
  </si>
  <si>
    <t>Year</t>
  </si>
  <si>
    <t>&lt;0 or (blank)</t>
  </si>
  <si>
    <t>0-1</t>
  </si>
  <si>
    <t>1-2</t>
  </si>
  <si>
    <t>2-3</t>
  </si>
  <si>
    <t>3-4</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</si>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</sst>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22"/>
      <color theme="0" tint="-4.9989318521683403E-2"/>
      <name val="Calibri"/>
      <family val="2"/>
      <scheme val="minor"/>
    </font>
    <font>
      <sz val="11"/>
      <color theme="0" tint="-4.9989318521683403E-2"/>
      <name val="Calibri"/>
      <family val="2"/>
      <scheme val="minor"/>
    </font>
    <font>
      <sz val="11"/>
      <color rgb="FFFF0000"/>
      <name val="Calibri"/>
      <family val="2"/>
      <scheme val="minor"/>
    </font>
    <font>
      <b/>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2" xfId="0" applyBorder="1"/>
    <xf numFmtId="2" fontId="0" fillId="0" borderId="0" xfId="0" applyNumberFormat="1"/>
    <xf numFmtId="164" fontId="0" fillId="0" borderId="0" xfId="0" applyNumberFormat="1"/>
    <xf numFmtId="164" fontId="0" fillId="0" borderId="0" xfId="0" applyNumberFormat="1" applyAlignment="1">
      <alignment horizontal="left"/>
    </xf>
    <xf numFmtId="0" fontId="5" fillId="0" borderId="0" xfId="0" applyFont="1"/>
    <xf numFmtId="0" fontId="0" fillId="2" borderId="0" xfId="0" applyFill="1"/>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0" fillId="0" borderId="0" xfId="0" applyNumberFormat="1"/>
  </cellXfs>
  <cellStyles count="1">
    <cellStyle name="Normal" xfId="0" builtinId="0"/>
  </cellStyles>
  <dxfs count="28">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for HR Analysis (1).xlsx]Gender and Department Wise!PivotTable1</c:name>
    <c:fmtId val="20"/>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'Gender and Department Wise'!$B$3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 and Department Wise'!$A$4:$A$9</c:f>
              <c:strCache>
                <c:ptCount val="5"/>
                <c:pt idx="0">
                  <c:v>Finance</c:v>
                </c:pt>
                <c:pt idx="1">
                  <c:v>HR</c:v>
                </c:pt>
                <c:pt idx="2">
                  <c:v>IT</c:v>
                </c:pt>
                <c:pt idx="3">
                  <c:v>Marketing</c:v>
                </c:pt>
                <c:pt idx="4">
                  <c:v>Sales</c:v>
                </c:pt>
              </c:strCache>
            </c:strRef>
          </c:cat>
          <c:val>
            <c:numRef>
              <c:f>'Gender and Department Wise'!$B$4:$B$9</c:f>
              <c:numCache>
                <c:formatCode>General</c:formatCode>
                <c:ptCount val="5"/>
                <c:pt idx="0">
                  <c:v>56</c:v>
                </c:pt>
                <c:pt idx="1">
                  <c:v>68</c:v>
                </c:pt>
                <c:pt idx="2">
                  <c:v>57</c:v>
                </c:pt>
                <c:pt idx="3">
                  <c:v>57</c:v>
                </c:pt>
                <c:pt idx="4">
                  <c:v>62</c:v>
                </c:pt>
              </c:numCache>
            </c:numRef>
          </c:val>
          <c:extLst>
            <c:ext xmlns:c16="http://schemas.microsoft.com/office/drawing/2014/chart" uri="{C3380CC4-5D6E-409C-BE32-E72D297353CC}">
              <c16:uniqueId val="{00000000-2EC1-42C9-8A3A-54EDF634F8E3}"/>
            </c:ext>
          </c:extLst>
        </c:ser>
        <c:dLbls>
          <c:dLblPos val="inEnd"/>
          <c:showLegendKey val="0"/>
          <c:showVal val="1"/>
          <c:showCatName val="0"/>
          <c:showSerName val="0"/>
          <c:showPercent val="0"/>
          <c:showBubbleSize val="0"/>
        </c:dLbls>
        <c:gapWidth val="41"/>
        <c:axId val="1549475999"/>
        <c:axId val="1549476479"/>
      </c:barChart>
      <c:catAx>
        <c:axId val="1549475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49476479"/>
        <c:crosses val="autoZero"/>
        <c:auto val="1"/>
        <c:lblAlgn val="ctr"/>
        <c:lblOffset val="100"/>
        <c:noMultiLvlLbl val="0"/>
      </c:catAx>
      <c:valAx>
        <c:axId val="1549476479"/>
        <c:scaling>
          <c:orientation val="minMax"/>
        </c:scaling>
        <c:delete val="1"/>
        <c:axPos val="l"/>
        <c:numFmt formatCode="General" sourceLinked="1"/>
        <c:majorTickMark val="none"/>
        <c:minorTickMark val="none"/>
        <c:tickLblPos val="nextTo"/>
        <c:crossAx val="154947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 Details for HR Analysis (1).xlsx]Department Wise Attrition!PivotTable5</c:name>
    <c:fmtId val="0"/>
  </c:pivotSource>
  <c:chart>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Wise Attrition'!$B$3:$B$4</c:f>
              <c:strCache>
                <c:ptCount val="1"/>
                <c:pt idx="0">
                  <c:v>Female</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'Department Wise Attrition'!$A$5:$A$10</c:f>
              <c:strCache>
                <c:ptCount val="5"/>
                <c:pt idx="0">
                  <c:v>Finance</c:v>
                </c:pt>
                <c:pt idx="1">
                  <c:v>HR</c:v>
                </c:pt>
                <c:pt idx="2">
                  <c:v>IT</c:v>
                </c:pt>
                <c:pt idx="3">
                  <c:v>Marketing</c:v>
                </c:pt>
                <c:pt idx="4">
                  <c:v>Sales</c:v>
                </c:pt>
              </c:strCache>
            </c:strRef>
          </c:cat>
          <c:val>
            <c:numRef>
              <c:f>'Department Wise Attrition'!$B$5:$B$10</c:f>
              <c:numCache>
                <c:formatCode>General</c:formatCode>
                <c:ptCount val="5"/>
                <c:pt idx="0">
                  <c:v>35</c:v>
                </c:pt>
                <c:pt idx="1">
                  <c:v>40</c:v>
                </c:pt>
                <c:pt idx="2">
                  <c:v>28</c:v>
                </c:pt>
                <c:pt idx="3">
                  <c:v>31</c:v>
                </c:pt>
                <c:pt idx="4">
                  <c:v>34</c:v>
                </c:pt>
              </c:numCache>
            </c:numRef>
          </c:val>
          <c:extLst>
            <c:ext xmlns:c16="http://schemas.microsoft.com/office/drawing/2014/chart" uri="{C3380CC4-5D6E-409C-BE32-E72D297353CC}">
              <c16:uniqueId val="{00000000-EB17-4A74-9874-FAAD453CC39E}"/>
            </c:ext>
          </c:extLst>
        </c:ser>
        <c:ser>
          <c:idx val="1"/>
          <c:order val="1"/>
          <c:tx>
            <c:strRef>
              <c:f>'Department Wise Attrition'!$C$3:$C$4</c:f>
              <c:strCache>
                <c:ptCount val="1"/>
                <c:pt idx="0">
                  <c:v>Male</c:v>
                </c:pt>
              </c:strCache>
            </c:strRef>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'Department Wise Attrition'!$A$5:$A$10</c:f>
              <c:strCache>
                <c:ptCount val="5"/>
                <c:pt idx="0">
                  <c:v>Finance</c:v>
                </c:pt>
                <c:pt idx="1">
                  <c:v>HR</c:v>
                </c:pt>
                <c:pt idx="2">
                  <c:v>IT</c:v>
                </c:pt>
                <c:pt idx="3">
                  <c:v>Marketing</c:v>
                </c:pt>
                <c:pt idx="4">
                  <c:v>Sales</c:v>
                </c:pt>
              </c:strCache>
            </c:strRef>
          </c:cat>
          <c:val>
            <c:numRef>
              <c:f>'Department Wise Attrition'!$C$5:$C$10</c:f>
              <c:numCache>
                <c:formatCode>General</c:formatCode>
                <c:ptCount val="5"/>
                <c:pt idx="0">
                  <c:v>21</c:v>
                </c:pt>
                <c:pt idx="1">
                  <c:v>28</c:v>
                </c:pt>
                <c:pt idx="2">
                  <c:v>29</c:v>
                </c:pt>
                <c:pt idx="3">
                  <c:v>26</c:v>
                </c:pt>
                <c:pt idx="4">
                  <c:v>28</c:v>
                </c:pt>
              </c:numCache>
            </c:numRef>
          </c:val>
          <c:extLst>
            <c:ext xmlns:c16="http://schemas.microsoft.com/office/drawing/2014/chart" uri="{C3380CC4-5D6E-409C-BE32-E72D297353CC}">
              <c16:uniqueId val="{00000001-6A7C-412C-A517-F74093F6DB28}"/>
            </c:ext>
          </c:extLst>
        </c:ser>
        <c:dLbls>
          <c:dLblPos val="outEnd"/>
          <c:showLegendKey val="0"/>
          <c:showVal val="1"/>
          <c:showCatName val="0"/>
          <c:showSerName val="0"/>
          <c:showPercent val="0"/>
          <c:showBubbleSize val="0"/>
        </c:dLbls>
        <c:gapWidth val="100"/>
        <c:overlap val="-24"/>
        <c:axId val="1661233071"/>
        <c:axId val="1661234031"/>
      </c:barChart>
      <c:catAx>
        <c:axId val="1661233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1234031"/>
        <c:crosses val="autoZero"/>
        <c:auto val="1"/>
        <c:lblAlgn val="ctr"/>
        <c:lblOffset val="100"/>
        <c:noMultiLvlLbl val="0"/>
      </c:catAx>
      <c:valAx>
        <c:axId val="16612340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12330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Details for HR Analysis (1).xlsx]Department and performance Wise!PivotTable7</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and performance Wise'!$B$3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'Department and performance Wise'!$A$4:$A$24</c:f>
              <c:multiLvlStrCache>
                <c:ptCount val="15"/>
                <c:lvl>
                  <c:pt idx="0">
                    <c:v>High rating</c:v>
                  </c:pt>
                  <c:pt idx="1">
                    <c:v>Low rating</c:v>
                  </c:pt>
                  <c:pt idx="2">
                    <c:v>Medium rating</c:v>
                  </c:pt>
                  <c:pt idx="3">
                    <c:v>High rating</c:v>
                  </c:pt>
                  <c:pt idx="4">
                    <c:v>Low rating</c:v>
                  </c:pt>
                  <c:pt idx="5">
                    <c:v>Medium rating</c:v>
                  </c:pt>
                  <c:pt idx="6">
                    <c:v>High rating</c:v>
                  </c:pt>
                  <c:pt idx="7">
                    <c:v>Low rating</c:v>
                  </c:pt>
                  <c:pt idx="8">
                    <c:v>Medium rating</c:v>
                  </c:pt>
                  <c:pt idx="9">
                    <c:v>High rating</c:v>
                  </c:pt>
                  <c:pt idx="10">
                    <c:v>Low rating</c:v>
                  </c:pt>
                  <c:pt idx="11">
                    <c:v>Medium rating</c:v>
                  </c:pt>
                  <c:pt idx="12">
                    <c:v>High rating</c:v>
                  </c:pt>
                  <c:pt idx="13">
                    <c:v>Low rating</c:v>
                  </c:pt>
                  <c:pt idx="14">
                    <c:v>Medium rating</c:v>
                  </c:pt>
                </c:lvl>
                <c:lvl>
                  <c:pt idx="0">
                    <c:v>Finance</c:v>
                  </c:pt>
                  <c:pt idx="3">
                    <c:v>HR</c:v>
                  </c:pt>
                  <c:pt idx="6">
                    <c:v>IT</c:v>
                  </c:pt>
                  <c:pt idx="9">
                    <c:v>Marketing</c:v>
                  </c:pt>
                  <c:pt idx="12">
                    <c:v>Sales</c:v>
                  </c:pt>
                </c:lvl>
              </c:multiLvlStrCache>
            </c:multiLvlStrRef>
          </c:cat>
          <c:val>
            <c:numRef>
              <c:f>'Department and performance Wise'!$B$4:$B$24</c:f>
              <c:numCache>
                <c:formatCode>General</c:formatCode>
                <c:ptCount val="15"/>
                <c:pt idx="0">
                  <c:v>18</c:v>
                </c:pt>
                <c:pt idx="1">
                  <c:v>22</c:v>
                </c:pt>
                <c:pt idx="2">
                  <c:v>16</c:v>
                </c:pt>
                <c:pt idx="3">
                  <c:v>13</c:v>
                </c:pt>
                <c:pt idx="4">
                  <c:v>28</c:v>
                </c:pt>
                <c:pt idx="5">
                  <c:v>27</c:v>
                </c:pt>
                <c:pt idx="6">
                  <c:v>8</c:v>
                </c:pt>
                <c:pt idx="7">
                  <c:v>28</c:v>
                </c:pt>
                <c:pt idx="8">
                  <c:v>21</c:v>
                </c:pt>
                <c:pt idx="9">
                  <c:v>9</c:v>
                </c:pt>
                <c:pt idx="10">
                  <c:v>24</c:v>
                </c:pt>
                <c:pt idx="11">
                  <c:v>24</c:v>
                </c:pt>
                <c:pt idx="12">
                  <c:v>10</c:v>
                </c:pt>
                <c:pt idx="13">
                  <c:v>29</c:v>
                </c:pt>
                <c:pt idx="14">
                  <c:v>23</c:v>
                </c:pt>
              </c:numCache>
            </c:numRef>
          </c:val>
          <c:extLst>
            <c:ext xmlns:c16="http://schemas.microsoft.com/office/drawing/2014/chart" uri="{C3380CC4-5D6E-409C-BE32-E72D297353CC}">
              <c16:uniqueId val="{00000000-31AD-4EB0-89A0-C8ABE5C43C20}"/>
            </c:ext>
          </c:extLst>
        </c:ser>
        <c:dLbls>
          <c:dLblPos val="outEnd"/>
          <c:showLegendKey val="0"/>
          <c:showVal val="1"/>
          <c:showCatName val="0"/>
          <c:showSerName val="0"/>
          <c:showPercent val="0"/>
          <c:showBubbleSize val="0"/>
        </c:dLbls>
        <c:gapWidth val="219"/>
        <c:overlap val="-27"/>
        <c:axId val="1628479343"/>
        <c:axId val="1628480783"/>
      </c:barChart>
      <c:catAx>
        <c:axId val="162847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80783"/>
        <c:crosses val="autoZero"/>
        <c:auto val="1"/>
        <c:lblAlgn val="ctr"/>
        <c:lblOffset val="100"/>
        <c:noMultiLvlLbl val="0"/>
      </c:catAx>
      <c:valAx>
        <c:axId val="162848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7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Details for HR Analysis (1).xlsx]Department and Salary Wise!PivotTable6</c:name>
    <c:fmtId val="0"/>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34925" cap="rnd">
            <a:solidFill>
              <a:schemeClr val="accent1">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9525">
              <a:solidFill>
                <a:schemeClr val="accent1">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'Department and Salary Wise'!$B$3</c:f>
              <c:strCache>
                <c:ptCount val="1"/>
                <c:pt idx="0">
                  <c:v>Count of Attrition</c:v>
                </c:pt>
              </c:strCache>
            </c:strRef>
          </c:tx>
          <c:spPr>
            <a:ln w="34925" cap="rnd">
              <a:solidFill>
                <a:schemeClr val="accent1">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9525">
                <a:solidFill>
                  <a:schemeClr val="accent1">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and Salary Wise'!$A$4:$A$9</c:f>
              <c:strCache>
                <c:ptCount val="5"/>
                <c:pt idx="0">
                  <c:v>Finance</c:v>
                </c:pt>
                <c:pt idx="1">
                  <c:v>HR</c:v>
                </c:pt>
                <c:pt idx="2">
                  <c:v>IT</c:v>
                </c:pt>
                <c:pt idx="3">
                  <c:v>Marketing</c:v>
                </c:pt>
                <c:pt idx="4">
                  <c:v>Sales</c:v>
                </c:pt>
              </c:strCache>
            </c:strRef>
          </c:cat>
          <c:val>
            <c:numRef>
              <c:f>'Department and Salary Wise'!$B$4:$B$9</c:f>
              <c:numCache>
                <c:formatCode>General</c:formatCode>
                <c:ptCount val="5"/>
                <c:pt idx="0">
                  <c:v>56</c:v>
                </c:pt>
                <c:pt idx="1">
                  <c:v>68</c:v>
                </c:pt>
                <c:pt idx="2">
                  <c:v>57</c:v>
                </c:pt>
                <c:pt idx="3">
                  <c:v>57</c:v>
                </c:pt>
                <c:pt idx="4">
                  <c:v>62</c:v>
                </c:pt>
              </c:numCache>
            </c:numRef>
          </c:val>
          <c:smooth val="0"/>
          <c:extLst>
            <c:ext xmlns:c16="http://schemas.microsoft.com/office/drawing/2014/chart" uri="{C3380CC4-5D6E-409C-BE32-E72D297353CC}">
              <c16:uniqueId val="{00000000-AFF0-45E4-8BE9-1532463D703B}"/>
            </c:ext>
          </c:extLst>
        </c:ser>
        <c:ser>
          <c:idx val="1"/>
          <c:order val="1"/>
          <c:tx>
            <c:strRef>
              <c:f>'Department and Salary Wise'!$C$3</c:f>
              <c:strCache>
                <c:ptCount val="1"/>
                <c:pt idx="0">
                  <c:v>Sum of Salary</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and Salary Wise'!$A$4:$A$9</c:f>
              <c:strCache>
                <c:ptCount val="5"/>
                <c:pt idx="0">
                  <c:v>Finance</c:v>
                </c:pt>
                <c:pt idx="1">
                  <c:v>HR</c:v>
                </c:pt>
                <c:pt idx="2">
                  <c:v>IT</c:v>
                </c:pt>
                <c:pt idx="3">
                  <c:v>Marketing</c:v>
                </c:pt>
                <c:pt idx="4">
                  <c:v>Sales</c:v>
                </c:pt>
              </c:strCache>
            </c:strRef>
          </c:cat>
          <c:val>
            <c:numRef>
              <c:f>'Department and Salary Wise'!$C$4:$C$9</c:f>
              <c:numCache>
                <c:formatCode>General</c:formatCode>
                <c:ptCount val="5"/>
                <c:pt idx="0">
                  <c:v>3979248</c:v>
                </c:pt>
                <c:pt idx="1">
                  <c:v>4664494</c:v>
                </c:pt>
                <c:pt idx="2">
                  <c:v>4358153</c:v>
                </c:pt>
                <c:pt idx="3">
                  <c:v>4489558</c:v>
                </c:pt>
                <c:pt idx="4">
                  <c:v>4311219</c:v>
                </c:pt>
              </c:numCache>
            </c:numRef>
          </c:val>
          <c:smooth val="0"/>
          <c:extLst>
            <c:ext xmlns:c16="http://schemas.microsoft.com/office/drawing/2014/chart" uri="{C3380CC4-5D6E-409C-BE32-E72D297353CC}">
              <c16:uniqueId val="{00000004-AFF0-45E4-8BE9-1532463D703B}"/>
            </c:ext>
          </c:extLst>
        </c:ser>
        <c:dLbls>
          <c:dLblPos val="ctr"/>
          <c:showLegendKey val="0"/>
          <c:showVal val="1"/>
          <c:showCatName val="0"/>
          <c:showSerName val="0"/>
          <c:showPercent val="0"/>
          <c:showBubbleSize val="0"/>
        </c:dLbls>
        <c:marker val="1"/>
        <c:smooth val="0"/>
        <c:axId val="1422136319"/>
        <c:axId val="1422141599"/>
      </c:lineChart>
      <c:catAx>
        <c:axId val="1422136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141599"/>
        <c:crosses val="autoZero"/>
        <c:auto val="1"/>
        <c:lblAlgn val="ctr"/>
        <c:lblOffset val="100"/>
        <c:noMultiLvlLbl val="0"/>
      </c:catAx>
      <c:valAx>
        <c:axId val="1422141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1363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Details for HR Analysis (1).xlsx]Age and Attrition Wise!PivotTable8</c:name>
    <c:fmtId val="21"/>
  </c:pivotSource>
  <c:chart>
    <c:autoTitleDeleted val="0"/>
    <c:pivotFmts>
      <c:pivotFmt>
        <c:idx val="0"/>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Attrition Wise'!$B$3:$B$4</c:f>
              <c:strCache>
                <c:ptCount val="1"/>
                <c:pt idx="0">
                  <c:v>Female</c:v>
                </c:pt>
              </c:strCache>
            </c:strRef>
          </c:tx>
          <c:spPr>
            <a:pattFill prst="narVert">
              <a:fgClr>
                <a:schemeClr val="accent4">
                  <a:shade val="76000"/>
                </a:schemeClr>
              </a:fgClr>
              <a:bgClr>
                <a:schemeClr val="accent4">
                  <a:shade val="76000"/>
                  <a:lumMod val="20000"/>
                  <a:lumOff val="80000"/>
                </a:schemeClr>
              </a:bgClr>
            </a:pattFill>
            <a:ln>
              <a:noFill/>
            </a:ln>
            <a:effectLst>
              <a:innerShdw blurRad="114300">
                <a:schemeClr val="accent4">
                  <a:shade val="76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'Age and Attrition Wise'!$A$5:$A$11</c:f>
              <c:strCache>
                <c:ptCount val="6"/>
                <c:pt idx="0">
                  <c:v>22-26</c:v>
                </c:pt>
                <c:pt idx="1">
                  <c:v>27-31</c:v>
                </c:pt>
                <c:pt idx="2">
                  <c:v>32-36</c:v>
                </c:pt>
                <c:pt idx="3">
                  <c:v>37-41</c:v>
                </c:pt>
                <c:pt idx="4">
                  <c:v>42-46</c:v>
                </c:pt>
                <c:pt idx="5">
                  <c:v>47-51</c:v>
                </c:pt>
              </c:strCache>
            </c:strRef>
          </c:cat>
          <c:val>
            <c:numRef>
              <c:f>'Age and Attrition Wise'!$B$5:$B$11</c:f>
              <c:numCache>
                <c:formatCode>General</c:formatCode>
                <c:ptCount val="6"/>
                <c:pt idx="0">
                  <c:v>20</c:v>
                </c:pt>
                <c:pt idx="1">
                  <c:v>31</c:v>
                </c:pt>
                <c:pt idx="2">
                  <c:v>31</c:v>
                </c:pt>
                <c:pt idx="3">
                  <c:v>25</c:v>
                </c:pt>
                <c:pt idx="4">
                  <c:v>37</c:v>
                </c:pt>
                <c:pt idx="5">
                  <c:v>24</c:v>
                </c:pt>
              </c:numCache>
            </c:numRef>
          </c:val>
          <c:extLst>
            <c:ext xmlns:c16="http://schemas.microsoft.com/office/drawing/2014/chart" uri="{C3380CC4-5D6E-409C-BE32-E72D297353CC}">
              <c16:uniqueId val="{00000000-6401-4E6A-BD14-47D6D85E4173}"/>
            </c:ext>
          </c:extLst>
        </c:ser>
        <c:ser>
          <c:idx val="1"/>
          <c:order val="1"/>
          <c:tx>
            <c:strRef>
              <c:f>'Age and Attrition Wise'!$C$3:$C$4</c:f>
              <c:strCache>
                <c:ptCount val="1"/>
                <c:pt idx="0">
                  <c:v>Male</c:v>
                </c:pt>
              </c:strCache>
            </c:strRef>
          </c:tx>
          <c:spPr>
            <a:pattFill prst="narVert">
              <a:fgClr>
                <a:schemeClr val="accent4">
                  <a:tint val="77000"/>
                </a:schemeClr>
              </a:fgClr>
              <a:bgClr>
                <a:schemeClr val="accent4">
                  <a:tint val="77000"/>
                  <a:lumMod val="20000"/>
                  <a:lumOff val="80000"/>
                </a:schemeClr>
              </a:bgClr>
            </a:pattFill>
            <a:ln>
              <a:noFill/>
            </a:ln>
            <a:effectLst>
              <a:innerShdw blurRad="114300">
                <a:schemeClr val="accent4">
                  <a:tint val="77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'Age and Attrition Wise'!$A$5:$A$11</c:f>
              <c:strCache>
                <c:ptCount val="6"/>
                <c:pt idx="0">
                  <c:v>22-26</c:v>
                </c:pt>
                <c:pt idx="1">
                  <c:v>27-31</c:v>
                </c:pt>
                <c:pt idx="2">
                  <c:v>32-36</c:v>
                </c:pt>
                <c:pt idx="3">
                  <c:v>37-41</c:v>
                </c:pt>
                <c:pt idx="4">
                  <c:v>42-46</c:v>
                </c:pt>
                <c:pt idx="5">
                  <c:v>47-51</c:v>
                </c:pt>
              </c:strCache>
            </c:strRef>
          </c:cat>
          <c:val>
            <c:numRef>
              <c:f>'Age and Attrition Wise'!$C$5:$C$11</c:f>
              <c:numCache>
                <c:formatCode>General</c:formatCode>
                <c:ptCount val="6"/>
                <c:pt idx="0">
                  <c:v>19</c:v>
                </c:pt>
                <c:pt idx="1">
                  <c:v>32</c:v>
                </c:pt>
                <c:pt idx="2">
                  <c:v>25</c:v>
                </c:pt>
                <c:pt idx="3">
                  <c:v>24</c:v>
                </c:pt>
                <c:pt idx="4">
                  <c:v>20</c:v>
                </c:pt>
                <c:pt idx="5">
                  <c:v>12</c:v>
                </c:pt>
              </c:numCache>
            </c:numRef>
          </c:val>
          <c:extLst>
            <c:ext xmlns:c16="http://schemas.microsoft.com/office/drawing/2014/chart" uri="{C3380CC4-5D6E-409C-BE32-E72D297353CC}">
              <c16:uniqueId val="{00000004-2E70-47E2-AAC7-41BCDA23CE12}"/>
            </c:ext>
          </c:extLst>
        </c:ser>
        <c:dLbls>
          <c:dLblPos val="outEnd"/>
          <c:showLegendKey val="0"/>
          <c:showVal val="1"/>
          <c:showCatName val="0"/>
          <c:showSerName val="0"/>
          <c:showPercent val="0"/>
          <c:showBubbleSize val="0"/>
        </c:dLbls>
        <c:gapWidth val="227"/>
        <c:axId val="1422138719"/>
        <c:axId val="1422146879"/>
      </c:barChart>
      <c:catAx>
        <c:axId val="14221387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46879"/>
        <c:crosses val="autoZero"/>
        <c:auto val="1"/>
        <c:lblAlgn val="ctr"/>
        <c:lblOffset val="100"/>
        <c:noMultiLvlLbl val="0"/>
      </c:catAx>
      <c:valAx>
        <c:axId val="142214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3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for HR Analysis (1).xlsx]Joining Date Wise!PivotTable10</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888888888888884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3.2407407407407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835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12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1.3888888888889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99999999999989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'Joining Date Wise'!$B$3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B7C-4166-9836-88F2DC11D14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B7C-4166-9836-88F2DC11D14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5B7C-4166-9836-88F2DC11D14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B7C-4166-9836-88F2DC11D14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5B7C-4166-9836-88F2DC11D14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B7C-4166-9836-88F2DC11D14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5B7C-4166-9836-88F2DC11D143}"/>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B7C-4166-9836-88F2DC11D143}"/>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5B7C-4166-9836-88F2DC11D143}"/>
              </c:ext>
            </c:extLst>
          </c:dPt>
          <c:dLbls>
            <c:dLbl>
              <c:idx val="0"/>
              <c:layout>
                <c:manualLayout>
                  <c:x val="8.3333333333333332E-3"/>
                  <c:y val="-3.240740740740742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7C-4166-9836-88F2DC11D143}"/>
                </c:ext>
              </c:extLst>
            </c:dLbl>
            <c:dLbl>
              <c:idx val="1"/>
              <c:layout>
                <c:manualLayout>
                  <c:x val="6.3888888888888884E-2"/>
                  <c:y val="-4.2437781360066642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7C-4166-9836-88F2DC11D143}"/>
                </c:ext>
              </c:extLst>
            </c:dLbl>
            <c:dLbl>
              <c:idx val="2"/>
              <c:layout>
                <c:manualLayout>
                  <c:x val="4.9999999999999899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7C-4166-9836-88F2DC11D143}"/>
                </c:ext>
              </c:extLst>
            </c:dLbl>
            <c:dLbl>
              <c:idx val="3"/>
              <c:layout>
                <c:manualLayout>
                  <c:x val="3.3333333333333333E-2"/>
                  <c:y val="1.38888888888890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7C-4166-9836-88F2DC11D143}"/>
                </c:ext>
              </c:extLst>
            </c:dLbl>
            <c:dLbl>
              <c:idx val="4"/>
              <c:layout>
                <c:manualLayout>
                  <c:x val="1.9444444444444445E-2"/>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7C-4166-9836-88F2DC11D143}"/>
                </c:ext>
              </c:extLst>
            </c:dLbl>
            <c:dLbl>
              <c:idx val="5"/>
              <c:layout>
                <c:manualLayout>
                  <c:x val="-3.3333333333333333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7C-4166-9836-88F2DC11D143}"/>
                </c:ext>
              </c:extLst>
            </c:dLbl>
            <c:dLbl>
              <c:idx val="6"/>
              <c:layout>
                <c:manualLayout>
                  <c:x val="-2.5000000000000012E-2"/>
                  <c:y val="-1.38888888888889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7C-4166-9836-88F2DC11D143}"/>
                </c:ext>
              </c:extLst>
            </c:dLbl>
            <c:dLbl>
              <c:idx val="7"/>
              <c:layout>
                <c:manualLayout>
                  <c:x val="-2.5000000000000001E-2"/>
                  <c:y val="-3.240740740740740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7C-4166-9836-88F2DC11D143}"/>
                </c:ext>
              </c:extLst>
            </c:dLbl>
            <c:dLbl>
              <c:idx val="8"/>
              <c:layout>
                <c:manualLayout>
                  <c:x val="-8.3333333333333835E-3"/>
                  <c:y val="-5.09259259259259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7C-4166-9836-88F2DC11D1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'Joining Date Wise'!$A$4:$A$13</c:f>
              <c:strCache>
                <c:ptCount val="9"/>
                <c:pt idx="0">
                  <c:v>2015</c:v>
                </c:pt>
                <c:pt idx="1">
                  <c:v>2016</c:v>
                </c:pt>
                <c:pt idx="2">
                  <c:v>2017</c:v>
                </c:pt>
                <c:pt idx="3">
                  <c:v>2018</c:v>
                </c:pt>
                <c:pt idx="4">
                  <c:v>2019</c:v>
                </c:pt>
                <c:pt idx="5">
                  <c:v>2020</c:v>
                </c:pt>
                <c:pt idx="6">
                  <c:v>2021</c:v>
                </c:pt>
                <c:pt idx="7">
                  <c:v>2022</c:v>
                </c:pt>
                <c:pt idx="8">
                  <c:v>2023</c:v>
                </c:pt>
              </c:strCache>
            </c:strRef>
          </c:cat>
          <c:val>
            <c:numRef>
              <c:f>'Joining Date Wise'!$B$4:$B$13</c:f>
              <c:numCache>
                <c:formatCode>General</c:formatCode>
                <c:ptCount val="9"/>
                <c:pt idx="0">
                  <c:v>28</c:v>
                </c:pt>
                <c:pt idx="1">
                  <c:v>41</c:v>
                </c:pt>
                <c:pt idx="2">
                  <c:v>40</c:v>
                </c:pt>
                <c:pt idx="3">
                  <c:v>37</c:v>
                </c:pt>
                <c:pt idx="4">
                  <c:v>32</c:v>
                </c:pt>
                <c:pt idx="5">
                  <c:v>43</c:v>
                </c:pt>
                <c:pt idx="6">
                  <c:v>40</c:v>
                </c:pt>
                <c:pt idx="7">
                  <c:v>29</c:v>
                </c:pt>
                <c:pt idx="8">
                  <c:v>10</c:v>
                </c:pt>
              </c:numCache>
            </c:numRef>
          </c:val>
          <c:extLst>
            <c:ext xmlns:c16="http://schemas.microsoft.com/office/drawing/2014/chart" uri="{C3380CC4-5D6E-409C-BE32-E72D297353CC}">
              <c16:uniqueId val="{00000000-5B7C-4166-9836-88F2DC11D1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Details for HR Analysis (1).xlsx]Exit with in 2 Year!PivotTable1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'Exit with in 2 Year'!$B$3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'Exit with in 2 Year'!$A$4:$A$5</c:f>
              <c:strCache>
                <c:ptCount val="2"/>
                <c:pt idx="0">
                  <c:v>no</c:v>
                </c:pt>
                <c:pt idx="1">
                  <c:v>yes</c:v>
                </c:pt>
              </c:strCache>
            </c:strRef>
          </c:cat>
          <c:val>
            <c:numRef>
              <c:f>'Exit with in 2 Year'!$B$4:$B$5</c:f>
              <c:numCache>
                <c:formatCode>General</c:formatCode>
                <c:ptCount val="2"/>
                <c:pt idx="0">
                  <c:v>80</c:v>
                </c:pt>
                <c:pt idx="1">
                  <c:v>71</c:v>
                </c:pt>
              </c:numCache>
            </c:numRef>
          </c:val>
          <c:extLst>
            <c:ext xmlns:c16="http://schemas.microsoft.com/office/drawing/2014/chart" uri="{C3380CC4-5D6E-409C-BE32-E72D297353CC}">
              <c16:uniqueId val="{00000002-8447-4D8C-8B48-EEFB5399E875}"/>
            </c:ext>
          </c:extLst>
        </c:ser>
        <c:dLbls>
          <c:dLblPos val="inEnd"/>
          <c:showLegendKey val="0"/>
          <c:showVal val="1"/>
          <c:showCatName val="0"/>
          <c:showSerName val="0"/>
          <c:showPercent val="0"/>
          <c:showBubbleSize val="0"/>
        </c:dLbls>
        <c:gapWidth val="219"/>
        <c:overlap val="-27"/>
        <c:axId val="1708459247"/>
        <c:axId val="1708459727"/>
      </c:barChart>
      <c:catAx>
        <c:axId val="17084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459727"/>
        <c:crosses val="autoZero"/>
        <c:auto val="1"/>
        <c:lblAlgn val="ctr"/>
        <c:lblOffset val="100"/>
        <c:noMultiLvlLbl val="0"/>
      </c:catAx>
      <c:valAx>
        <c:axId val="170845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45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for HR Analysis (1).xlsx]Sheet2!PivotTable20</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b="0"/>
              <a:t>HIRING</a:t>
            </a:r>
            <a:r>
              <a:rPr lang="en-IN" baseline="0"/>
              <a:t> </a:t>
            </a:r>
            <a:r>
              <a:rPr lang="en-IN" sz="1200" b="0" baseline="0"/>
              <a:t>TREND</a:t>
            </a:r>
            <a:r>
              <a:rPr lang="en-IN" baseline="0"/>
              <a:t> </a:t>
            </a:r>
            <a:r>
              <a:rPr lang="en-IN" sz="1200" b="0" baseline="0"/>
              <a:t>BY</a:t>
            </a:r>
            <a:r>
              <a:rPr lang="en-IN" baseline="0"/>
              <a:t> </a:t>
            </a:r>
            <a:r>
              <a:rPr lang="en-IN" sz="1200" b="0" baseline="0"/>
              <a:t>YEAR</a:t>
            </a:r>
            <a:endParaRPr lang="en-IN" b="0"/>
          </a:p>
        </c:rich>
      </c:tx>
      <c:layout>
        <c:manualLayout>
          <c:xMode val="edge"/>
          <c:yMode val="edge"/>
          <c:x val="0.16895255532244727"/>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9086534834741E-2"/>
          <c:y val="0.20352260617484952"/>
          <c:w val="0.95033467693430607"/>
          <c:h val="0.66706408122721284"/>
        </c:manualLayout>
      </c:layout>
      <c:lineChart>
        <c:grouping val="stacked"/>
        <c:varyColors val="0"/>
        <c:ser>
          <c:idx val="0"/>
          <c:order val="0"/>
          <c:tx>
            <c:strRef>
              <c:f>Sheet2!$B$3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Sheet2!$A$4:$A$13</c:f>
              <c:strCache>
                <c:ptCount val="9"/>
                <c:pt idx="0">
                  <c:v>2015</c:v>
                </c:pt>
                <c:pt idx="1">
                  <c:v>2016</c:v>
                </c:pt>
                <c:pt idx="2">
                  <c:v>2017</c:v>
                </c:pt>
                <c:pt idx="3">
                  <c:v>2018</c:v>
                </c:pt>
                <c:pt idx="4">
                  <c:v>2019</c:v>
                </c:pt>
                <c:pt idx="5">
                  <c:v>2020</c:v>
                </c:pt>
                <c:pt idx="6">
                  <c:v>2021</c:v>
                </c:pt>
                <c:pt idx="7">
                  <c:v>2022</c:v>
                </c:pt>
                <c:pt idx="8">
                  <c:v>2023</c:v>
                </c:pt>
              </c:strCache>
            </c:strRef>
          </c:cat>
          <c:val>
            <c:numRef>
              <c:f>Sheet2!$B$4:$B$13</c:f>
              <c:numCache>
                <c:formatCode>General</c:formatCode>
                <c:ptCount val="9"/>
                <c:pt idx="0">
                  <c:v>28</c:v>
                </c:pt>
                <c:pt idx="1">
                  <c:v>41</c:v>
                </c:pt>
                <c:pt idx="2">
                  <c:v>40</c:v>
                </c:pt>
                <c:pt idx="3">
                  <c:v>37</c:v>
                </c:pt>
                <c:pt idx="4">
                  <c:v>32</c:v>
                </c:pt>
                <c:pt idx="5">
                  <c:v>43</c:v>
                </c:pt>
                <c:pt idx="6">
                  <c:v>40</c:v>
                </c:pt>
                <c:pt idx="7">
                  <c:v>29</c:v>
                </c:pt>
                <c:pt idx="8">
                  <c:v>10</c:v>
                </c:pt>
              </c:numCache>
            </c:numRef>
          </c:val>
          <c:smooth val="0"/>
          <c:extLst>
            <c:ext xmlns:c16="http://schemas.microsoft.com/office/drawing/2014/chart" uri="{C3380CC4-5D6E-409C-BE32-E72D297353CC}">
              <c16:uniqueId val="{00000000-56ED-4A1F-815E-DDE545252350}"/>
            </c:ext>
          </c:extLst>
        </c:ser>
        <c:dLbls>
          <c:dLblPos val="t"/>
          <c:showLegendKey val="0"/>
          <c:showVal val="1"/>
          <c:showCatName val="0"/>
          <c:showSerName val="0"/>
          <c:showPercent val="0"/>
          <c:showBubbleSize val="0"/>
        </c:dLbls>
        <c:marker val="1"/>
        <c:smooth val="0"/>
        <c:axId val="56148016"/>
        <c:axId val="204696368"/>
      </c:lineChart>
      <c:catAx>
        <c:axId val="5614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4696368"/>
        <c:crosses val="autoZero"/>
        <c:auto val="1"/>
        <c:lblAlgn val="ctr"/>
        <c:lblOffset val="100"/>
        <c:noMultiLvlLbl val="0"/>
      </c:catAx>
      <c:valAx>
        <c:axId val="204696368"/>
        <c:scaling>
          <c:orientation val="minMax"/>
        </c:scaling>
        <c:delete val="1"/>
        <c:axPos val="l"/>
        <c:numFmt formatCode="General" sourceLinked="1"/>
        <c:majorTickMark val="out"/>
        <c:minorTickMark val="none"/>
        <c:tickLblPos val="nextTo"/>
        <c:crossAx val="561480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for HR Analysis (1).xlsx]Sheet2!PivotTable22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200" b="0"/>
              <a:t>GENDER</a:t>
            </a:r>
            <a:r>
              <a:rPr lang="en-IN" b="1" baseline="0"/>
              <a:t> </a:t>
            </a:r>
            <a:r>
              <a:rPr lang="en-IN" sz="1200" b="0" baseline="0"/>
              <a:t>DISTRIBUTION</a:t>
            </a:r>
            <a:endParaRPr lang="en-IN" b="0"/>
          </a:p>
        </c:rich>
      </c:tx>
      <c:layout>
        <c:manualLayout>
          <c:xMode val="edge"/>
          <c:yMode val="edge"/>
          <c:x val="0.11008219885341554"/>
          <c:y val="7.7053594107188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8888888888888892E-2"/>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833333333333334"/>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8888888888888892E-2"/>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33333333333334"/>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8888888888888892E-2"/>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15395627999062"/>
          <c:y val="0.26129404792142924"/>
          <c:w val="0.35240048118985129"/>
          <c:h val="0.58733413531641876"/>
        </c:manualLayout>
      </c:layout>
      <c:doughnutChart>
        <c:varyColors val="1"/>
        <c:ser>
          <c:idx val="0"/>
          <c:order val="0"/>
          <c:tx>
            <c:strRef>
              <c:f>Sheet2!$H$2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FC-4749-BB70-82E1C5D0ED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FC-4749-BB70-82E1C5D0ED83}"/>
              </c:ext>
            </c:extLst>
          </c:dPt>
          <c:dLbls>
            <c:dLbl>
              <c:idx val="0"/>
              <c:layout>
                <c:manualLayout>
                  <c:x val="0.10833333333333334"/>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FC-4749-BB70-82E1C5D0ED83}"/>
                </c:ext>
              </c:extLst>
            </c:dLbl>
            <c:dLbl>
              <c:idx val="1"/>
              <c:layout>
                <c:manualLayout>
                  <c:x val="-8.8888888888888892E-2"/>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FC-4749-BB70-82E1C5D0ED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Sheet2!$G$3:$G$5</c:f>
              <c:strCache>
                <c:ptCount val="2"/>
                <c:pt idx="0">
                  <c:v>Female</c:v>
                </c:pt>
                <c:pt idx="1">
                  <c:v>Male</c:v>
                </c:pt>
              </c:strCache>
            </c:strRef>
          </c:cat>
          <c:val>
            <c:numRef>
              <c:f>Sheet2!$H$3:$H$5</c:f>
              <c:numCache>
                <c:formatCode>General</c:formatCode>
                <c:ptCount val="2"/>
                <c:pt idx="0">
                  <c:v>168</c:v>
                </c:pt>
                <c:pt idx="1">
                  <c:v>132</c:v>
                </c:pt>
              </c:numCache>
            </c:numRef>
          </c:val>
          <c:extLst>
            <c:ext xmlns:c16="http://schemas.microsoft.com/office/drawing/2014/chart" uri="{C3380CC4-5D6E-409C-BE32-E72D297353CC}">
              <c16:uniqueId val="{00000004-51FC-4749-BB70-82E1C5D0ED8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883659944170584"/>
          <c:y val="0.3619534332401998"/>
          <c:w val="0.3011634005582941"/>
          <c:h val="0.46437795275590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 Details for HR Analysis (1).xlsx]Sheet2!PivotTable23</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ATTRITION BY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Sheet2!$K$3:$K$4</c:f>
              <c:strCache>
                <c:ptCount val="1"/>
                <c:pt idx="0">
                  <c:v>Female</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Sheet2!$J$5:$J$10</c:f>
              <c:strCache>
                <c:ptCount val="5"/>
                <c:pt idx="0">
                  <c:v>Finance</c:v>
                </c:pt>
                <c:pt idx="1">
                  <c:v>HR</c:v>
                </c:pt>
                <c:pt idx="2">
                  <c:v>IT</c:v>
                </c:pt>
                <c:pt idx="3">
                  <c:v>Marketing</c:v>
                </c:pt>
                <c:pt idx="4">
                  <c:v>Sales</c:v>
                </c:pt>
              </c:strCache>
            </c:strRef>
          </c:cat>
          <c:val>
            <c:numRef>
              <c:f>Sheet2!$K$5:$K$10</c:f>
              <c:numCache>
                <c:formatCode>General</c:formatCode>
                <c:ptCount val="5"/>
                <c:pt idx="0">
                  <c:v>35</c:v>
                </c:pt>
                <c:pt idx="1">
                  <c:v>40</c:v>
                </c:pt>
                <c:pt idx="2">
                  <c:v>28</c:v>
                </c:pt>
                <c:pt idx="3">
                  <c:v>31</c:v>
                </c:pt>
                <c:pt idx="4">
                  <c:v>34</c:v>
                </c:pt>
              </c:numCache>
            </c:numRef>
          </c:val>
          <c:extLst>
            <c:ext xmlns:c16="http://schemas.microsoft.com/office/drawing/2014/chart" uri="{C3380CC4-5D6E-409C-BE32-E72D297353CC}">
              <c16:uniqueId val="{00000000-34CA-446F-97F4-39291EB18E8B}"/>
            </c:ext>
          </c:extLst>
        </c:ser>
        <c:ser>
          <c:idx val="1"/>
          <c:order val="1"/>
          <c:tx>
            <c:strRef>
              <c:f>Sheet2!$L$3:$L$4</c:f>
              <c:strCache>
                <c:ptCount val="1"/>
                <c:pt idx="0">
                  <c:v>Male</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Sheet2!$J$5:$J$10</c:f>
              <c:strCache>
                <c:ptCount val="5"/>
                <c:pt idx="0">
                  <c:v>Finance</c:v>
                </c:pt>
                <c:pt idx="1">
                  <c:v>HR</c:v>
                </c:pt>
                <c:pt idx="2">
                  <c:v>IT</c:v>
                </c:pt>
                <c:pt idx="3">
                  <c:v>Marketing</c:v>
                </c:pt>
                <c:pt idx="4">
                  <c:v>Sales</c:v>
                </c:pt>
              </c:strCache>
            </c:strRef>
          </c:cat>
          <c:val>
            <c:numRef>
              <c:f>Sheet2!$L$5:$L$10</c:f>
              <c:numCache>
                <c:formatCode>General</c:formatCode>
                <c:ptCount val="5"/>
                <c:pt idx="0">
                  <c:v>21</c:v>
                </c:pt>
                <c:pt idx="1">
                  <c:v>28</c:v>
                </c:pt>
                <c:pt idx="2">
                  <c:v>29</c:v>
                </c:pt>
                <c:pt idx="3">
                  <c:v>26</c:v>
                </c:pt>
                <c:pt idx="4">
                  <c:v>28</c:v>
                </c:pt>
              </c:numCache>
            </c:numRef>
          </c:val>
          <c:extLst>
            <c:ext xmlns:c16="http://schemas.microsoft.com/office/drawing/2014/chart" uri="{C3380CC4-5D6E-409C-BE32-E72D297353CC}">
              <c16:uniqueId val="{00000001-71A7-4019-907E-EF5FA43B1C1A}"/>
            </c:ext>
          </c:extLst>
        </c:ser>
        <c:dLbls>
          <c:dLblPos val="outEnd"/>
          <c:showLegendKey val="0"/>
          <c:showVal val="1"/>
          <c:showCatName val="0"/>
          <c:showSerName val="0"/>
          <c:showPercent val="0"/>
          <c:showBubbleSize val="0"/>
        </c:dLbls>
        <c:gapWidth val="219"/>
        <c:overlap val="-27"/>
        <c:axId val="43517872"/>
        <c:axId val="59552336"/>
      </c:barChart>
      <c:catAx>
        <c:axId val="4351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2336"/>
        <c:crosses val="autoZero"/>
        <c:auto val="1"/>
        <c:lblAlgn val="ctr"/>
        <c:lblOffset val="100"/>
        <c:noMultiLvlLbl val="0"/>
      </c:catAx>
      <c:valAx>
        <c:axId val="59552336"/>
        <c:scaling>
          <c:orientation val="minMax"/>
        </c:scaling>
        <c:delete val="1"/>
        <c:axPos val="l"/>
        <c:numFmt formatCode="General" sourceLinked="1"/>
        <c:majorTickMark val="none"/>
        <c:minorTickMark val="none"/>
        <c:tickLblPos val="nextTo"/>
        <c:crossAx val="4351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Details for HR Analysis (1).xlsx]Sheet2!PivotTable25</c:name>
    <c:fmtId val="7"/>
  </c:pivotSource>
  <c:chart>
    <c:title>
      <c:tx>
        <c:rich>
          <a:bodyPr rot="0" spcFirstLastPara="1" vertOverflow="ellipsis" vert="horz" wrap="square" anchor="ctr" anchorCtr="1"/>
          <a:lstStyle/>
          <a:p>
            <a:pPr>
              <a:defRPr sz="1200" b="0" i="0" u="none" strike="noStrike" kern="1200" cap="all" spc="150" baseline="0">
                <a:solidFill>
                  <a:schemeClr val="tx1">
                    <a:lumMod val="50000"/>
                    <a:lumOff val="50000"/>
                  </a:schemeClr>
                </a:solidFill>
                <a:latin typeface="+mn-lt"/>
                <a:ea typeface="+mn-ea"/>
                <a:cs typeface="+mn-cs"/>
              </a:defRPr>
            </a:pPr>
            <a:r>
              <a:rPr lang="en-IN" sz="1200" b="0"/>
              <a:t>ATTRITION</a:t>
            </a:r>
            <a:r>
              <a:rPr lang="en-IN" sz="1200" b="0" baseline="0"/>
              <a:t> BY AGE GROUP</a:t>
            </a:r>
            <a:endParaRPr lang="en-IN" sz="1200" b="0"/>
          </a:p>
        </c:rich>
      </c:tx>
      <c:overlay val="0"/>
      <c:spPr>
        <a:noFill/>
        <a:ln>
          <a:noFill/>
        </a:ln>
        <a:effectLst/>
      </c:spPr>
      <c:txPr>
        <a:bodyPr rot="0" spcFirstLastPara="1" vertOverflow="ellipsis" vert="horz" wrap="square" anchor="ctr" anchorCtr="1"/>
        <a:lstStyle/>
        <a:p>
          <a:pPr>
            <a:defRPr sz="1200" b="0"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Sheet2!$B$52:$B$53</c:f>
              <c:strCache>
                <c:ptCount val="1"/>
                <c:pt idx="0">
                  <c:v>Female</c:v>
                </c:pt>
              </c:strCache>
            </c:strRef>
          </c:tx>
          <c:spPr>
            <a:pattFill prst="narHorz">
              <a:fgClr>
                <a:schemeClr val="accent4">
                  <a:shade val="76000"/>
                </a:schemeClr>
              </a:fgClr>
              <a:bgClr>
                <a:schemeClr val="accent4">
                  <a:shade val="76000"/>
                  <a:lumMod val="20000"/>
                  <a:lumOff val="80000"/>
                </a:schemeClr>
              </a:bgClr>
            </a:pattFill>
            <a:ln>
              <a:noFill/>
            </a:ln>
            <a:effectLst>
              <a:innerShdw blurRad="114300">
                <a:schemeClr val="accent4">
                  <a:shade val="76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Sheet2!$A$54:$A$60</c:f>
              <c:strCache>
                <c:ptCount val="6"/>
                <c:pt idx="0">
                  <c:v>22-26</c:v>
                </c:pt>
                <c:pt idx="1">
                  <c:v>27-31</c:v>
                </c:pt>
                <c:pt idx="2">
                  <c:v>32-36</c:v>
                </c:pt>
                <c:pt idx="3">
                  <c:v>37-41</c:v>
                </c:pt>
                <c:pt idx="4">
                  <c:v>42-46</c:v>
                </c:pt>
                <c:pt idx="5">
                  <c:v>47-51</c:v>
                </c:pt>
              </c:strCache>
            </c:strRef>
          </c:cat>
          <c:val>
            <c:numRef>
              <c:f>Sheet2!$B$54:$B$60</c:f>
              <c:numCache>
                <c:formatCode>General</c:formatCode>
                <c:ptCount val="6"/>
                <c:pt idx="0">
                  <c:v>20</c:v>
                </c:pt>
                <c:pt idx="1">
                  <c:v>31</c:v>
                </c:pt>
                <c:pt idx="2">
                  <c:v>31</c:v>
                </c:pt>
                <c:pt idx="3">
                  <c:v>25</c:v>
                </c:pt>
                <c:pt idx="4">
                  <c:v>37</c:v>
                </c:pt>
                <c:pt idx="5">
                  <c:v>24</c:v>
                </c:pt>
              </c:numCache>
            </c:numRef>
          </c:val>
          <c:extLst>
            <c:ext xmlns:c16="http://schemas.microsoft.com/office/drawing/2014/chart" uri="{C3380CC4-5D6E-409C-BE32-E72D297353CC}">
              <c16:uniqueId val="{00000000-4441-4E06-B946-40A56F2547E3}"/>
            </c:ext>
          </c:extLst>
        </c:ser>
        <c:ser>
          <c:idx val="1"/>
          <c:order val="1"/>
          <c:tx>
            <c:strRef>
              <c:f>Sheet2!$C$52:$C$53</c:f>
              <c:strCache>
                <c:ptCount val="1"/>
                <c:pt idx="0">
                  <c:v>Male</c:v>
                </c:pt>
              </c:strCache>
            </c:strRef>
          </c:tx>
          <c:spPr>
            <a:pattFill prst="narHorz">
              <a:fgClr>
                <a:schemeClr val="accent4">
                  <a:tint val="77000"/>
                </a:schemeClr>
              </a:fgClr>
              <a:bgClr>
                <a:schemeClr val="accent4">
                  <a:tint val="77000"/>
                  <a:lumMod val="20000"/>
                  <a:lumOff val="80000"/>
                </a:schemeClr>
              </a:bgClr>
            </a:pattFill>
            <a:ln>
              <a:noFill/>
            </a:ln>
            <a:effectLst>
              <a:innerShdw blurRad="114300">
                <a:schemeClr val="accent4">
                  <a:tint val="77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Sheet2!$A$54:$A$60</c:f>
              <c:strCache>
                <c:ptCount val="6"/>
                <c:pt idx="0">
                  <c:v>22-26</c:v>
                </c:pt>
                <c:pt idx="1">
                  <c:v>27-31</c:v>
                </c:pt>
                <c:pt idx="2">
                  <c:v>32-36</c:v>
                </c:pt>
                <c:pt idx="3">
                  <c:v>37-41</c:v>
                </c:pt>
                <c:pt idx="4">
                  <c:v>42-46</c:v>
                </c:pt>
                <c:pt idx="5">
                  <c:v>47-51</c:v>
                </c:pt>
              </c:strCache>
            </c:strRef>
          </c:cat>
          <c:val>
            <c:numRef>
              <c:f>Sheet2!$C$54:$C$60</c:f>
              <c:numCache>
                <c:formatCode>General</c:formatCode>
                <c:ptCount val="6"/>
                <c:pt idx="0">
                  <c:v>19</c:v>
                </c:pt>
                <c:pt idx="1">
                  <c:v>32</c:v>
                </c:pt>
                <c:pt idx="2">
                  <c:v>25</c:v>
                </c:pt>
                <c:pt idx="3">
                  <c:v>24</c:v>
                </c:pt>
                <c:pt idx="4">
                  <c:v>20</c:v>
                </c:pt>
                <c:pt idx="5">
                  <c:v>12</c:v>
                </c:pt>
              </c:numCache>
            </c:numRef>
          </c:val>
          <c:extLst>
            <c:ext xmlns:c16="http://schemas.microsoft.com/office/drawing/2014/chart" uri="{C3380CC4-5D6E-409C-BE32-E72D297353CC}">
              <c16:uniqueId val="{00000001-E3DE-4E15-9AB7-E0B28ADAC691}"/>
            </c:ext>
          </c:extLst>
        </c:ser>
        <c:dLbls>
          <c:dLblPos val="outEnd"/>
          <c:showLegendKey val="0"/>
          <c:showVal val="1"/>
          <c:showCatName val="0"/>
          <c:showSerName val="0"/>
          <c:showPercent val="0"/>
          <c:showBubbleSize val="0"/>
        </c:dLbls>
        <c:gapWidth val="164"/>
        <c:overlap val="-22"/>
        <c:axId val="30749360"/>
        <c:axId val="1731897743"/>
      </c:barChart>
      <c:catAx>
        <c:axId val="307493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97743"/>
        <c:crosses val="autoZero"/>
        <c:auto val="1"/>
        <c:lblAlgn val="ctr"/>
        <c:lblOffset val="100"/>
        <c:noMultiLvlLbl val="0"/>
      </c:catAx>
      <c:valAx>
        <c:axId val="1731897743"/>
        <c:scaling>
          <c:orientation val="minMax"/>
        </c:scaling>
        <c:delete val="1"/>
        <c:axPos val="l"/>
        <c:numFmt formatCode="General" sourceLinked="1"/>
        <c:majorTickMark val="none"/>
        <c:minorTickMark val="none"/>
        <c:tickLblPos val="nextTo"/>
        <c:crossAx val="3074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Details for HR Analysis (1).xlsx]Sheet2!PivotTable1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a:t>EXPERIENCE</a:t>
            </a:r>
            <a:r>
              <a:rPr lang="en-IN" sz="1200" b="0" baseline="0"/>
              <a:t> DISTRIBUTION</a:t>
            </a:r>
            <a:endParaRPr lang="en-IN" sz="1200" b="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33580361278366E-2"/>
          <c:y val="0.18543279458488743"/>
          <c:w val="0.93623188405797098"/>
          <c:h val="0.68388924745062607"/>
        </c:manualLayout>
      </c:layout>
      <c:barChart>
        <c:barDir val="col"/>
        <c:grouping val="clustered"/>
        <c:varyColors val="0"/>
        <c:ser>
          <c:idx val="0"/>
          <c:order val="0"/>
          <c:tx>
            <c:strRef>
              <c:f>Sheet2!$G$53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Sheet2!$F$54:$F$60</c:f>
              <c:strCache>
                <c:ptCount val="6"/>
                <c:pt idx="0">
                  <c:v>&lt;0 or (blank)</c:v>
                </c:pt>
                <c:pt idx="1">
                  <c:v>0-1</c:v>
                </c:pt>
                <c:pt idx="2">
                  <c:v>1-2</c:v>
                </c:pt>
                <c:pt idx="3">
                  <c:v>2-3</c:v>
                </c:pt>
                <c:pt idx="4">
                  <c:v>3-4</c:v>
                </c:pt>
                <c:pt idx="5">
                  <c:v>4-5</c:v>
                </c:pt>
              </c:strCache>
            </c:strRef>
          </c:cat>
          <c:val>
            <c:numRef>
              <c:f>Sheet2!$G$54:$G$60</c:f>
              <c:numCache>
                <c:formatCode>General</c:formatCode>
                <c:ptCount val="6"/>
                <c:pt idx="0">
                  <c:v>150</c:v>
                </c:pt>
                <c:pt idx="1">
                  <c:v>29</c:v>
                </c:pt>
                <c:pt idx="2">
                  <c:v>42</c:v>
                </c:pt>
                <c:pt idx="3">
                  <c:v>38</c:v>
                </c:pt>
                <c:pt idx="4">
                  <c:v>37</c:v>
                </c:pt>
                <c:pt idx="5">
                  <c:v>4</c:v>
                </c:pt>
              </c:numCache>
            </c:numRef>
          </c:val>
          <c:extLst>
            <c:ext xmlns:c16="http://schemas.microsoft.com/office/drawing/2014/chart" uri="{C3380CC4-5D6E-409C-BE32-E72D297353CC}">
              <c16:uniqueId val="{00000000-8D81-4B36-AAF7-E0FEC2A5B3DF}"/>
            </c:ext>
          </c:extLst>
        </c:ser>
        <c:dLbls>
          <c:dLblPos val="outEnd"/>
          <c:showLegendKey val="0"/>
          <c:showVal val="1"/>
          <c:showCatName val="0"/>
          <c:showSerName val="0"/>
          <c:showPercent val="0"/>
          <c:showBubbleSize val="0"/>
        </c:dLbls>
        <c:gapWidth val="219"/>
        <c:overlap val="-27"/>
        <c:axId val="442563279"/>
        <c:axId val="454898607"/>
      </c:barChart>
      <c:catAx>
        <c:axId val="4425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98607"/>
        <c:crosses val="autoZero"/>
        <c:auto val="1"/>
        <c:lblAlgn val="ctr"/>
        <c:lblOffset val="100"/>
        <c:noMultiLvlLbl val="0"/>
      </c:catAx>
      <c:valAx>
        <c:axId val="454898607"/>
        <c:scaling>
          <c:orientation val="minMax"/>
        </c:scaling>
        <c:delete val="1"/>
        <c:axPos val="l"/>
        <c:numFmt formatCode="General" sourceLinked="1"/>
        <c:majorTickMark val="none"/>
        <c:minorTickMark val="none"/>
        <c:tickLblPos val="nextTo"/>
        <c:crossAx val="44256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for HR Analysis (1).xlsx]Sheet2!PivotTable2</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PERFORMANCE</a:t>
            </a:r>
            <a:r>
              <a:rPr lang="en-IN" sz="1200" baseline="0"/>
              <a:t> DISTRIBUTION</a:t>
            </a:r>
            <a:endParaRPr lang="en-IN" sz="1200"/>
          </a:p>
        </c:rich>
      </c:tx>
      <c:layout>
        <c:manualLayout>
          <c:xMode val="edge"/>
          <c:yMode val="edge"/>
          <c:x val="7.9387820338023621E-2"/>
          <c:y val="5.19962961168592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Sheet2!$I$54:$I$57</c:f>
              <c:strCache>
                <c:ptCount val="3"/>
                <c:pt idx="0">
                  <c:v>High rating</c:v>
                </c:pt>
                <c:pt idx="1">
                  <c:v>Low rating</c:v>
                </c:pt>
                <c:pt idx="2">
                  <c:v>Medium rating</c:v>
                </c:pt>
              </c:strCache>
            </c:strRef>
          </c:cat>
          <c:val>
            <c:numRef>
              <c:f>Sheet2!$J$54:$J$57</c:f>
              <c:numCache>
                <c:formatCode>General</c:formatCode>
                <c:ptCount val="3"/>
                <c:pt idx="0">
                  <c:v>58</c:v>
                </c:pt>
                <c:pt idx="1">
                  <c:v>131</c:v>
                </c:pt>
                <c:pt idx="2">
                  <c:v>111</c:v>
                </c:pt>
              </c:numCache>
            </c:numRef>
          </c:val>
          <c:extLst>
            <c:ext xmlns:c16="http://schemas.microsoft.com/office/drawing/2014/chart" uri="{C3380CC4-5D6E-409C-BE32-E72D297353CC}">
              <c16:uniqueId val="{00000000-B69D-4C6B-8385-93447C0C42E9}"/>
            </c:ext>
          </c:extLst>
        </c:ser>
        <c:dLbls>
          <c:dLblPos val="outEnd"/>
          <c:showLegendKey val="0"/>
          <c:showVal val="1"/>
          <c:showCatName val="0"/>
          <c:showSerName val="0"/>
          <c:showPercent val="0"/>
          <c:showBubbleSize val="0"/>
        </c:dLbls>
        <c:gapWidth val="219"/>
        <c:overlap val="-27"/>
        <c:axId val="442595295"/>
        <c:axId val="482742607"/>
      </c:barChart>
      <c:catAx>
        <c:axId val="44259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42607"/>
        <c:crosses val="autoZero"/>
        <c:auto val="1"/>
        <c:lblAlgn val="ctr"/>
        <c:lblOffset val="100"/>
        <c:noMultiLvlLbl val="0"/>
      </c:catAx>
      <c:valAx>
        <c:axId val="482742607"/>
        <c:scaling>
          <c:orientation val="minMax"/>
        </c:scaling>
        <c:delete val="1"/>
        <c:axPos val="l"/>
        <c:numFmt formatCode="General" sourceLinked="1"/>
        <c:majorTickMark val="none"/>
        <c:minorTickMark val="none"/>
        <c:tickLblPos val="nextTo"/>
        <c:crossAx val="44259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Details for HR Analysis (1).xlsx]Sheet2!PivotTable3</c:name>
    <c:fmtId val="7"/>
  </c:pivotSource>
  <c:chart>
    <c:title>
      <c:tx>
        <c:rich>
          <a:bodyPr rot="0" spcFirstLastPara="1" vertOverflow="ellipsis" vert="horz" wrap="square" anchor="ctr" anchorCtr="1"/>
          <a:lstStyle/>
          <a:p>
            <a:pPr>
              <a:defRPr sz="800" b="0" i="0" u="none" strike="noStrike" kern="1200" cap="all" spc="150" baseline="0">
                <a:solidFill>
                  <a:schemeClr val="tx1">
                    <a:lumMod val="50000"/>
                    <a:lumOff val="50000"/>
                  </a:schemeClr>
                </a:solidFill>
                <a:latin typeface="+mn-lt"/>
                <a:ea typeface="+mn-ea"/>
                <a:cs typeface="+mn-cs"/>
              </a:defRPr>
            </a:pPr>
            <a:r>
              <a:rPr lang="en-IN" sz="800" b="0"/>
              <a:t>AVG.SALARY BY DEPARTMENT</a:t>
            </a:r>
          </a:p>
        </c:rich>
      </c:tx>
      <c:layout>
        <c:manualLayout>
          <c:xMode val="edge"/>
          <c:yMode val="edge"/>
          <c:x val="0.1151009344641845"/>
          <c:y val="4.6543803646165845E-2"/>
        </c:manualLayout>
      </c:layout>
      <c:overlay val="0"/>
      <c:spPr>
        <a:noFill/>
        <a:ln>
          <a:noFill/>
        </a:ln>
        <a:effectLst/>
      </c:spPr>
      <c:txPr>
        <a:bodyPr rot="0" spcFirstLastPara="1" vertOverflow="ellipsis" vert="horz" wrap="square" anchor="ctr" anchorCtr="1"/>
        <a:lstStyle/>
        <a:p>
          <a:pPr>
            <a:defRPr sz="800" b="0"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dLbl>
          <c:idx val="0"/>
          <c:layout>
            <c:manualLayout>
              <c:x val="-7.4073218373934501E-17"/>
              <c:y val="1.1594197606209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12454240075911E-2"/>
          <c:y val="0.29380208555011705"/>
          <c:w val="0.87259545581612963"/>
          <c:h val="0.44903568135064198"/>
        </c:manualLayout>
      </c:layout>
      <c:barChart>
        <c:barDir val="col"/>
        <c:grouping val="clustered"/>
        <c:varyColors val="0"/>
        <c:ser>
          <c:idx val="0"/>
          <c:order val="0"/>
          <c:tx>
            <c:strRef>
              <c:f>Sheet2!$B$66</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Pt>
            <c:idx val="3"/>
            <c:invertIfNegative val="0"/>
            <c:bubble3D val="0"/>
            <c:spPr>
              <a:pattFill prst="narHorz">
                <a:fgClr>
                  <a:schemeClr val="accent2"/>
                </a:fgClr>
                <a:bgClr>
                  <a:schemeClr val="accent2">
                    <a:lumMod val="20000"/>
                    <a:lumOff val="80000"/>
                  </a:schemeClr>
                </a:bgClr>
              </a:pattFill>
              <a:ln>
                <a:noFill/>
              </a:ln>
              <a:effectLst>
                <a:innerShdw blurRad="114300">
                  <a:schemeClr val="accent2"/>
                </a:innerShdw>
              </a:effectLst>
            </c:spPr>
            <c:extLst>
              <c:ext xmlns:c16="http://schemas.microsoft.com/office/drawing/2014/chart" uri="{C3380CC4-5D6E-409C-BE32-E72D297353CC}">
                <c16:uniqueId val="{00000000-FF82-4857-B3D4-98056D772479}"/>
              </c:ext>
            </c:extLst>
          </c:dPt>
          <c:dLbls>
            <c:dLbl>
              <c:idx val="3"/>
              <c:layout>
                <c:manualLayout>
                  <c:x val="-7.4073218373934501E-17"/>
                  <c:y val="1.15941976062090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82-4857-B3D4-98056D7724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Sheet2!$A$67:$A$72</c:f>
              <c:strCache>
                <c:ptCount val="5"/>
                <c:pt idx="0">
                  <c:v>Finance</c:v>
                </c:pt>
                <c:pt idx="1">
                  <c:v>HR</c:v>
                </c:pt>
                <c:pt idx="2">
                  <c:v>IT</c:v>
                </c:pt>
                <c:pt idx="3">
                  <c:v>Marketing</c:v>
                </c:pt>
                <c:pt idx="4">
                  <c:v>Sales</c:v>
                </c:pt>
              </c:strCache>
            </c:strRef>
          </c:cat>
          <c:val>
            <c:numRef>
              <c:f>Sheet2!$B$67:$B$72</c:f>
              <c:numCache>
                <c:formatCode>General</c:formatCode>
                <c:ptCount val="5"/>
                <c:pt idx="0">
                  <c:v>71058</c:v>
                </c:pt>
                <c:pt idx="1">
                  <c:v>68595.5</c:v>
                </c:pt>
                <c:pt idx="2">
                  <c:v>76458.824561403511</c:v>
                </c:pt>
                <c:pt idx="3">
                  <c:v>78764.175438596489</c:v>
                </c:pt>
                <c:pt idx="4">
                  <c:v>69535.790322580651</c:v>
                </c:pt>
              </c:numCache>
            </c:numRef>
          </c:val>
          <c:extLst>
            <c:ext xmlns:c16="http://schemas.microsoft.com/office/drawing/2014/chart" uri="{C3380CC4-5D6E-409C-BE32-E72D297353CC}">
              <c16:uniqueId val="{00000000-B041-43B4-987E-A33CFF470DE2}"/>
            </c:ext>
          </c:extLst>
        </c:ser>
        <c:dLbls>
          <c:dLblPos val="outEnd"/>
          <c:showLegendKey val="0"/>
          <c:showVal val="1"/>
          <c:showCatName val="0"/>
          <c:showSerName val="0"/>
          <c:showPercent val="0"/>
          <c:showBubbleSize val="0"/>
        </c:dLbls>
        <c:gapWidth val="164"/>
        <c:overlap val="-22"/>
        <c:axId val="330745103"/>
        <c:axId val="235856367"/>
      </c:barChart>
      <c:catAx>
        <c:axId val="3307451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56367"/>
        <c:crosses val="autoZero"/>
        <c:auto val="1"/>
        <c:lblAlgn val="ctr"/>
        <c:lblOffset val="100"/>
        <c:noMultiLvlLbl val="0"/>
      </c:catAx>
      <c:valAx>
        <c:axId val="235856367"/>
        <c:scaling>
          <c:orientation val="minMax"/>
        </c:scaling>
        <c:delete val="1"/>
        <c:axPos val="l"/>
        <c:numFmt formatCode="General" sourceLinked="1"/>
        <c:majorTickMark val="none"/>
        <c:minorTickMark val="none"/>
        <c:tickLblPos val="nextTo"/>
        <c:crossAx val="3307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for HR Analysis (1).xlsx]Sheet2!PivotTable21</c:name>
    <c:fmtId val="2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Sheet2!$D$4:$D$9</c:f>
              <c:strCache>
                <c:ptCount val="5"/>
                <c:pt idx="0">
                  <c:v>Finance</c:v>
                </c:pt>
                <c:pt idx="1">
                  <c:v>HR</c:v>
                </c:pt>
                <c:pt idx="2">
                  <c:v>IT</c:v>
                </c:pt>
                <c:pt idx="3">
                  <c:v>Marketing</c:v>
                </c:pt>
                <c:pt idx="4">
                  <c:v>Sales</c:v>
                </c:pt>
              </c:strCache>
            </c:strRef>
          </c:cat>
          <c:val>
            <c:numRef>
              <c:f>Sheet2!$E$4:$E$9</c:f>
              <c:numCache>
                <c:formatCode>General</c:formatCode>
                <c:ptCount val="5"/>
                <c:pt idx="0">
                  <c:v>56</c:v>
                </c:pt>
                <c:pt idx="1">
                  <c:v>68</c:v>
                </c:pt>
                <c:pt idx="2">
                  <c:v>57</c:v>
                </c:pt>
                <c:pt idx="3">
                  <c:v>57</c:v>
                </c:pt>
                <c:pt idx="4">
                  <c:v>62</c:v>
                </c:pt>
              </c:numCache>
            </c:numRef>
          </c:val>
          <c:extLst>
            <c:ext xmlns:c16="http://schemas.microsoft.com/office/drawing/2014/chart" uri="{C3380CC4-5D6E-409C-BE32-E72D297353CC}">
              <c16:uniqueId val="{00000000-0860-4FFB-8B9D-E5A8BB220C33}"/>
            </c:ext>
          </c:extLst>
        </c:ser>
        <c:dLbls>
          <c:showLegendKey val="0"/>
          <c:showVal val="1"/>
          <c:showCatName val="0"/>
          <c:showSerName val="0"/>
          <c:showPercent val="0"/>
          <c:showBubbleSize val="0"/>
        </c:dLbls>
        <c:gapWidth val="150"/>
        <c:axId val="1138286800"/>
        <c:axId val="745308208"/>
      </c:barChart>
      <c:catAx>
        <c:axId val="113828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5308208"/>
        <c:crosses val="autoZero"/>
        <c:auto val="1"/>
        <c:lblAlgn val="ctr"/>
        <c:lblOffset val="100"/>
        <c:noMultiLvlLbl val="0"/>
      </c:catAx>
      <c:valAx>
        <c:axId val="745308208"/>
        <c:scaling>
          <c:orientation val="minMax"/>
        </c:scaling>
        <c:delete val="1"/>
        <c:axPos val="l"/>
        <c:numFmt formatCode="General" sourceLinked="1"/>
        <c:majorTickMark val="none"/>
        <c:minorTickMark val="none"/>
        <c:tickLblPos val="nextTo"/>
        <c:crossAx val="113828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2.xml"/><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8</xdr:col>
      <xdr:colOff>352425</xdr:colOff>
      <xdr:row>0</xdr:row>
      <xdr:rowOff>0</xdr:rowOff>
    </xdr:from>
    <xdr:to>
      <xdr:col>20</xdr:col>
      <xdr:colOff>257175</xdr:colOff>
      <xdr:row>13</xdr:row>
      <xdr:rowOff>66676</xdr:rowOff>
    </xdr:to>
    <xdr:graphicFrame macro="">
      <xdr:nvGraphicFramePr>
        <xdr:cNvPr id="5" name="Chart 4">
          <a:extLst>
            <a:ext uri="{FF2B5EF4-FFF2-40B4-BE49-F238E27FC236}">
              <a16:creationId xmlns:a16="http://schemas.microsoft.com/office/drawing/2014/main" id="{6F6332B9-9226-E5E0-DADF-A830E8288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4939</xdr:colOff>
      <xdr:row>1</xdr:row>
      <xdr:rowOff>163159</xdr:rowOff>
    </xdr:from>
    <xdr:to>
      <xdr:col>13</xdr:col>
      <xdr:colOff>308680</xdr:colOff>
      <xdr:row>16</xdr:row>
      <xdr:rowOff>48859</xdr:rowOff>
    </xdr:to>
    <xdr:graphicFrame macro="">
      <xdr:nvGraphicFramePr>
        <xdr:cNvPr id="2" name="Chart 1">
          <a:extLst>
            <a:ext uri="{FF2B5EF4-FFF2-40B4-BE49-F238E27FC236}">
              <a16:creationId xmlns:a16="http://schemas.microsoft.com/office/drawing/2014/main" id="{20807A59-093C-CBF9-E35C-3FEFFAFF8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600075</xdr:colOff>
      <xdr:row>2</xdr:row>
      <xdr:rowOff>19050</xdr:rowOff>
    </xdr:from>
    <xdr:to>
      <xdr:col>12</xdr:col>
      <xdr:colOff>323850</xdr:colOff>
      <xdr:row>24</xdr:row>
      <xdr:rowOff>9525</xdr:rowOff>
    </xdr:to>
    <xdr:graphicFrame macro="">
      <xdr:nvGraphicFramePr>
        <xdr:cNvPr id="2" name="Chart 1">
          <a:extLst>
            <a:ext uri="{FF2B5EF4-FFF2-40B4-BE49-F238E27FC236}">
              <a16:creationId xmlns:a16="http://schemas.microsoft.com/office/drawing/2014/main" id="{47A5005A-7CD1-106B-EB1A-913836498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171450</xdr:colOff>
      <xdr:row>1</xdr:row>
      <xdr:rowOff>19050</xdr:rowOff>
    </xdr:from>
    <xdr:to>
      <xdr:col>13</xdr:col>
      <xdr:colOff>457200</xdr:colOff>
      <xdr:row>15</xdr:row>
      <xdr:rowOff>171450</xdr:rowOff>
    </xdr:to>
    <xdr:graphicFrame macro="">
      <xdr:nvGraphicFramePr>
        <xdr:cNvPr id="2" name="Chart 1">
          <a:extLst>
            <a:ext uri="{FF2B5EF4-FFF2-40B4-BE49-F238E27FC236}">
              <a16:creationId xmlns:a16="http://schemas.microsoft.com/office/drawing/2014/main" id="{F87AB7CB-E6D1-9B3B-4CFF-11E43647E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95250</xdr:colOff>
      <xdr:row>0</xdr:row>
      <xdr:rowOff>57150</xdr:rowOff>
    </xdr:from>
    <xdr:to>
      <xdr:col>14</xdr:col>
      <xdr:colOff>257174</xdr:colOff>
      <xdr:row>17</xdr:row>
      <xdr:rowOff>42862</xdr:rowOff>
    </xdr:to>
    <xdr:graphicFrame macro="">
      <xdr:nvGraphicFramePr>
        <xdr:cNvPr id="2" name="Chart 1">
          <a:extLst>
            <a:ext uri="{FF2B5EF4-FFF2-40B4-BE49-F238E27FC236}">
              <a16:creationId xmlns:a16="http://schemas.microsoft.com/office/drawing/2014/main" id="{5C83B2D1-C01D-BE6D-F84B-6D19CA3F9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347266</xdr:colOff>
      <xdr:row>1</xdr:row>
      <xdr:rowOff>57148</xdr:rowOff>
    </xdr:from>
    <xdr:to>
      <xdr:col>12</xdr:col>
      <xdr:colOff>168671</xdr:colOff>
      <xdr:row>18</xdr:row>
      <xdr:rowOff>178594</xdr:rowOff>
    </xdr:to>
    <xdr:graphicFrame macro="">
      <xdr:nvGraphicFramePr>
        <xdr:cNvPr id="2" name="Chart 1">
          <a:extLst>
            <a:ext uri="{FF2B5EF4-FFF2-40B4-BE49-F238E27FC236}">
              <a16:creationId xmlns:a16="http://schemas.microsoft.com/office/drawing/2014/main" id="{43B14D1B-5FAC-44D0-E75C-9895DD82F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600075</xdr:colOff>
      <xdr:row>1</xdr:row>
      <xdr:rowOff>38100</xdr:rowOff>
    </xdr:from>
    <xdr:to>
      <xdr:col>12</xdr:col>
      <xdr:colOff>476249</xdr:colOff>
      <xdr:row>17</xdr:row>
      <xdr:rowOff>52387</xdr:rowOff>
    </xdr:to>
    <xdr:graphicFrame macro="">
      <xdr:nvGraphicFramePr>
        <xdr:cNvPr id="2" name="Chart 1">
          <a:extLst>
            <a:ext uri="{FF2B5EF4-FFF2-40B4-BE49-F238E27FC236}">
              <a16:creationId xmlns:a16="http://schemas.microsoft.com/office/drawing/2014/main" id="{82DF514D-50CC-7D55-7BEE-782829CFE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561973</xdr:colOff>
      <xdr:row>2</xdr:row>
      <xdr:rowOff>97194</xdr:rowOff>
    </xdr:from>
    <xdr:to>
      <xdr:col>14</xdr:col>
      <xdr:colOff>93009</xdr:colOff>
      <xdr:row>5</xdr:row>
      <xdr:rowOff>90031</xdr:rowOff>
    </xdr:to>
    <xdr:sp macro="" textlink="">
      <xdr:nvSpPr>
        <xdr:cNvPr id="10" name="Rectangle: Rounded Corners 9">
          <a:extLst>
            <a:ext uri="{FF2B5EF4-FFF2-40B4-BE49-F238E27FC236}">
              <a16:creationId xmlns:a16="http://schemas.microsoft.com/office/drawing/2014/main" id="{36044F10-141C-7D44-4E02-F14E4C4EF4C6}"/>
            </a:ext>
          </a:extLst>
        </xdr:cNvPr>
        <xdr:cNvSpPr/>
      </xdr:nvSpPr>
      <xdr:spPr>
        <a:xfrm>
          <a:off x="7297509" y="651199"/>
          <a:ext cx="1368000" cy="5760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i="0">
              <a:solidFill>
                <a:srgbClr val="FF0000"/>
              </a:solidFill>
            </a:rPr>
            <a:t>Exit</a:t>
          </a:r>
          <a:r>
            <a:rPr lang="en-IN" sz="1100">
              <a:solidFill>
                <a:srgbClr val="FF0000"/>
              </a:solidFill>
            </a:rPr>
            <a:t> </a:t>
          </a:r>
          <a:r>
            <a:rPr lang="en-IN" sz="1100" b="1">
              <a:solidFill>
                <a:srgbClr val="FF0000"/>
              </a:solidFill>
            </a:rPr>
            <a:t>Employees</a:t>
          </a:r>
        </a:p>
      </xdr:txBody>
    </xdr:sp>
    <xdr:clientData/>
  </xdr:twoCellAnchor>
  <xdr:twoCellAnchor>
    <xdr:from>
      <xdr:col>8</xdr:col>
      <xdr:colOff>400049</xdr:colOff>
      <xdr:row>2</xdr:row>
      <xdr:rowOff>103802</xdr:rowOff>
    </xdr:from>
    <xdr:to>
      <xdr:col>10</xdr:col>
      <xdr:colOff>548849</xdr:colOff>
      <xdr:row>5</xdr:row>
      <xdr:rowOff>108302</xdr:rowOff>
    </xdr:to>
    <xdr:sp macro="" textlink="">
      <xdr:nvSpPr>
        <xdr:cNvPr id="9" name="Rectangle: Rounded Corners 8">
          <a:extLst>
            <a:ext uri="{FF2B5EF4-FFF2-40B4-BE49-F238E27FC236}">
              <a16:creationId xmlns:a16="http://schemas.microsoft.com/office/drawing/2014/main" id="{8EA121D9-C995-F870-AB5D-2B566B957894}"/>
            </a:ext>
          </a:extLst>
        </xdr:cNvPr>
        <xdr:cNvSpPr/>
      </xdr:nvSpPr>
      <xdr:spPr>
        <a:xfrm>
          <a:off x="5298620" y="657807"/>
          <a:ext cx="1373443" cy="58766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1">
              <a:solidFill>
                <a:srgbClr val="92D050"/>
              </a:solidFill>
            </a:rPr>
            <a:t>Active</a:t>
          </a:r>
          <a:r>
            <a:rPr lang="en-IN" sz="1100" b="1" baseline="0">
              <a:solidFill>
                <a:srgbClr val="92D050"/>
              </a:solidFill>
            </a:rPr>
            <a:t> Employees</a:t>
          </a:r>
          <a:endParaRPr lang="en-IN" sz="1100" b="1">
            <a:solidFill>
              <a:srgbClr val="92D050"/>
            </a:solidFill>
          </a:endParaRPr>
        </a:p>
      </xdr:txBody>
    </xdr:sp>
    <xdr:clientData/>
  </xdr:twoCellAnchor>
  <xdr:twoCellAnchor>
    <xdr:from>
      <xdr:col>15</xdr:col>
      <xdr:colOff>117410</xdr:colOff>
      <xdr:row>2</xdr:row>
      <xdr:rowOff>104191</xdr:rowOff>
    </xdr:from>
    <xdr:to>
      <xdr:col>17</xdr:col>
      <xdr:colOff>304931</xdr:colOff>
      <xdr:row>5</xdr:row>
      <xdr:rowOff>132766</xdr:rowOff>
    </xdr:to>
    <xdr:sp macro="" textlink="">
      <xdr:nvSpPr>
        <xdr:cNvPr id="11" name="Rectangle: Rounded Corners 10">
          <a:extLst>
            <a:ext uri="{FF2B5EF4-FFF2-40B4-BE49-F238E27FC236}">
              <a16:creationId xmlns:a16="http://schemas.microsoft.com/office/drawing/2014/main" id="{ECE9E354-52F9-4AFF-913D-28A16DD4D4E8}"/>
            </a:ext>
          </a:extLst>
        </xdr:cNvPr>
        <xdr:cNvSpPr/>
      </xdr:nvSpPr>
      <xdr:spPr>
        <a:xfrm>
          <a:off x="9302231" y="658196"/>
          <a:ext cx="1412164" cy="611738"/>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200" b="1">
              <a:solidFill>
                <a:schemeClr val="accent6">
                  <a:lumMod val="75000"/>
                </a:schemeClr>
              </a:solidFill>
            </a:rPr>
            <a:t>Attrition</a:t>
          </a:r>
          <a:r>
            <a:rPr lang="en-IN" sz="1200" b="1" baseline="0">
              <a:solidFill>
                <a:schemeClr val="accent6">
                  <a:lumMod val="75000"/>
                </a:schemeClr>
              </a:solidFill>
            </a:rPr>
            <a:t> Rate(%)</a:t>
          </a:r>
        </a:p>
        <a:p>
          <a:pPr algn="l"/>
          <a:endParaRPr lang="en-IN" sz="1200" b="1">
            <a:solidFill>
              <a:schemeClr val="accent6">
                <a:lumMod val="75000"/>
              </a:schemeClr>
            </a:solidFill>
          </a:endParaRPr>
        </a:p>
      </xdr:txBody>
    </xdr:sp>
    <xdr:clientData/>
  </xdr:twoCellAnchor>
  <xdr:twoCellAnchor editAs="oneCell">
    <xdr:from>
      <xdr:col>5</xdr:col>
      <xdr:colOff>66675</xdr:colOff>
      <xdr:row>0</xdr:row>
      <xdr:rowOff>142875</xdr:rowOff>
    </xdr:from>
    <xdr:to>
      <xdr:col>6</xdr:col>
      <xdr:colOff>371475</xdr:colOff>
      <xdr:row>2</xdr:row>
      <xdr:rowOff>104774</xdr:rowOff>
    </xdr:to>
    <xdr:pic>
      <xdr:nvPicPr>
        <xdr:cNvPr id="4" name="Graphic 3" descr="Statistics with solid fill">
          <a:extLst>
            <a:ext uri="{FF2B5EF4-FFF2-40B4-BE49-F238E27FC236}">
              <a16:creationId xmlns:a16="http://schemas.microsoft.com/office/drawing/2014/main" id="{D1A7FC11-7725-CC99-061A-3ADCA7E0A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14675" y="142875"/>
          <a:ext cx="914400" cy="514349"/>
        </a:xfrm>
        <a:prstGeom prst="rect">
          <a:avLst/>
        </a:prstGeom>
      </xdr:spPr>
    </xdr:pic>
    <xdr:clientData/>
  </xdr:twoCellAnchor>
  <xdr:twoCellAnchor>
    <xdr:from>
      <xdr:col>5</xdr:col>
      <xdr:colOff>395580</xdr:colOff>
      <xdr:row>2</xdr:row>
      <xdr:rowOff>142292</xdr:rowOff>
    </xdr:from>
    <xdr:to>
      <xdr:col>7</xdr:col>
      <xdr:colOff>462255</xdr:colOff>
      <xdr:row>5</xdr:row>
      <xdr:rowOff>123242</xdr:rowOff>
    </xdr:to>
    <xdr:sp macro="" textlink="">
      <xdr:nvSpPr>
        <xdr:cNvPr id="5" name="Rectangle: Rounded Corners 4">
          <a:extLst>
            <a:ext uri="{FF2B5EF4-FFF2-40B4-BE49-F238E27FC236}">
              <a16:creationId xmlns:a16="http://schemas.microsoft.com/office/drawing/2014/main" id="{DBD4EA0C-4EE0-9B73-D9E7-8E23562856BD}"/>
            </a:ext>
          </a:extLst>
        </xdr:cNvPr>
        <xdr:cNvSpPr/>
      </xdr:nvSpPr>
      <xdr:spPr>
        <a:xfrm>
          <a:off x="3457187" y="696297"/>
          <a:ext cx="1291318" cy="5641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tx2"/>
              </a:solidFill>
            </a:rPr>
            <a:t>Total</a:t>
          </a:r>
          <a:r>
            <a:rPr lang="en-IN" sz="1100" b="0" baseline="0">
              <a:solidFill>
                <a:schemeClr val="tx2"/>
              </a:solidFill>
            </a:rPr>
            <a:t> Employees</a:t>
          </a:r>
        </a:p>
      </xdr:txBody>
    </xdr:sp>
    <xdr:clientData/>
  </xdr:twoCellAnchor>
  <xdr:twoCellAnchor editAs="oneCell">
    <xdr:from>
      <xdr:col>5</xdr:col>
      <xdr:colOff>443204</xdr:colOff>
      <xdr:row>3</xdr:row>
      <xdr:rowOff>164840</xdr:rowOff>
    </xdr:from>
    <xdr:to>
      <xdr:col>6</xdr:col>
      <xdr:colOff>319378</xdr:colOff>
      <xdr:row>5</xdr:row>
      <xdr:rowOff>155315</xdr:rowOff>
    </xdr:to>
    <xdr:pic>
      <xdr:nvPicPr>
        <xdr:cNvPr id="8" name="Graphic 7" descr="Users with solid fill">
          <a:extLst>
            <a:ext uri="{FF2B5EF4-FFF2-40B4-BE49-F238E27FC236}">
              <a16:creationId xmlns:a16="http://schemas.microsoft.com/office/drawing/2014/main" id="{9EC6EEB1-F937-917C-1E18-257A980418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04811" y="913233"/>
          <a:ext cx="488496" cy="379250"/>
        </a:xfrm>
        <a:prstGeom prst="rect">
          <a:avLst/>
        </a:prstGeom>
      </xdr:spPr>
    </xdr:pic>
    <xdr:clientData/>
  </xdr:twoCellAnchor>
  <xdr:twoCellAnchor>
    <xdr:from>
      <xdr:col>8</xdr:col>
      <xdr:colOff>577851</xdr:colOff>
      <xdr:row>4</xdr:row>
      <xdr:rowOff>10127</xdr:rowOff>
    </xdr:from>
    <xdr:to>
      <xdr:col>9</xdr:col>
      <xdr:colOff>260350</xdr:colOff>
      <xdr:row>5</xdr:row>
      <xdr:rowOff>55768</xdr:rowOff>
    </xdr:to>
    <xdr:grpSp>
      <xdr:nvGrpSpPr>
        <xdr:cNvPr id="20" name="Graphic 18" descr="User with solid fill">
          <a:extLst>
            <a:ext uri="{FF2B5EF4-FFF2-40B4-BE49-F238E27FC236}">
              <a16:creationId xmlns:a16="http://schemas.microsoft.com/office/drawing/2014/main" id="{452ED201-B089-2B2F-8D5F-72BBCA57ADF9}"/>
            </a:ext>
          </a:extLst>
        </xdr:cNvPr>
        <xdr:cNvGrpSpPr/>
      </xdr:nvGrpSpPr>
      <xdr:grpSpPr>
        <a:xfrm>
          <a:off x="5454651" y="943577"/>
          <a:ext cx="292099" cy="236141"/>
          <a:chOff x="1797050" y="963016"/>
          <a:chExt cx="292100" cy="236141"/>
        </a:xfrm>
        <a:solidFill>
          <a:srgbClr val="92D050"/>
        </a:solidFill>
      </xdr:grpSpPr>
      <xdr:sp macro="" textlink="">
        <xdr:nvSpPr>
          <xdr:cNvPr id="21" name="Oval 20">
            <a:extLst>
              <a:ext uri="{FF2B5EF4-FFF2-40B4-BE49-F238E27FC236}">
                <a16:creationId xmlns:a16="http://schemas.microsoft.com/office/drawing/2014/main" id="{AC95CA7B-C0DD-87AC-8BB1-076FBD486E8E}"/>
              </a:ext>
            </a:extLst>
          </xdr:cNvPr>
          <xdr:cNvSpPr/>
        </xdr:nvSpPr>
        <xdr:spPr>
          <a:xfrm>
            <a:off x="1870075" y="963016"/>
            <a:ext cx="146050" cy="111125"/>
          </a:xfrm>
          <a:prstGeom prst="ellipse">
            <a:avLst/>
          </a:prstGeom>
          <a:solidFill>
            <a:srgbClr val="92D050"/>
          </a:solidFill>
          <a:ln w="4564" cap="flat">
            <a:noFill/>
            <a:prstDash val="solid"/>
            <a:miter/>
          </a:ln>
        </xdr:spPr>
      </xdr:sp>
      <xdr:sp macro="" textlink="">
        <xdr:nvSpPr>
          <xdr:cNvPr id="22" name="Freeform: Shape 21">
            <a:extLst>
              <a:ext uri="{FF2B5EF4-FFF2-40B4-BE49-F238E27FC236}">
                <a16:creationId xmlns:a16="http://schemas.microsoft.com/office/drawing/2014/main" id="{EBFE2862-A665-A200-64B9-7D430324C6B4}"/>
              </a:ext>
            </a:extLst>
          </xdr:cNvPr>
          <xdr:cNvSpPr/>
        </xdr:nvSpPr>
        <xdr:spPr>
          <a:xfrm>
            <a:off x="1797050" y="1088032"/>
            <a:ext cx="292100" cy="111125"/>
          </a:xfrm>
          <a:custGeom>
            <a:avLst/>
            <a:gdLst>
              <a:gd name="csX0" fmla="*/ 292100 w 292100"/>
              <a:gd name="csY0" fmla="*/ 111125 h 111125"/>
              <a:gd name="csX1" fmla="*/ 292100 w 292100"/>
              <a:gd name="csY1" fmla="*/ 55563 h 111125"/>
              <a:gd name="csX2" fmla="*/ 277495 w 292100"/>
              <a:gd name="csY2" fmla="*/ 33338 h 111125"/>
              <a:gd name="csX3" fmla="*/ 206296 w 292100"/>
              <a:gd name="csY3" fmla="*/ 6945 h 111125"/>
              <a:gd name="csX4" fmla="*/ 146050 w 292100"/>
              <a:gd name="csY4" fmla="*/ 0 h 111125"/>
              <a:gd name="csX5" fmla="*/ 85804 w 292100"/>
              <a:gd name="csY5" fmla="*/ 6945 h 111125"/>
              <a:gd name="csX6" fmla="*/ 14605 w 292100"/>
              <a:gd name="csY6" fmla="*/ 33338 h 111125"/>
              <a:gd name="csX7" fmla="*/ 0 w 292100"/>
              <a:gd name="csY7" fmla="*/ 55563 h 111125"/>
              <a:gd name="csX8" fmla="*/ 0 w 292100"/>
              <a:gd name="csY8" fmla="*/ 111125 h 111125"/>
              <a:gd name="csX9" fmla="*/ 292100 w 292100"/>
              <a:gd name="csY9" fmla="*/ 111125 h 1111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292100" h="111125">
                <a:moveTo>
                  <a:pt x="292100" y="111125"/>
                </a:moveTo>
                <a:lnTo>
                  <a:pt x="292100" y="55563"/>
                </a:lnTo>
                <a:cubicBezTo>
                  <a:pt x="292100" y="47228"/>
                  <a:pt x="286623" y="38894"/>
                  <a:pt x="277495" y="33338"/>
                </a:cubicBezTo>
                <a:cubicBezTo>
                  <a:pt x="257413" y="20836"/>
                  <a:pt x="231854" y="12502"/>
                  <a:pt x="206296" y="6945"/>
                </a:cubicBezTo>
                <a:cubicBezTo>
                  <a:pt x="188039" y="2778"/>
                  <a:pt x="167958" y="0"/>
                  <a:pt x="146050" y="0"/>
                </a:cubicBezTo>
                <a:cubicBezTo>
                  <a:pt x="125968" y="0"/>
                  <a:pt x="105886" y="2778"/>
                  <a:pt x="85804" y="6945"/>
                </a:cubicBezTo>
                <a:cubicBezTo>
                  <a:pt x="60246" y="12502"/>
                  <a:pt x="34687" y="22225"/>
                  <a:pt x="14605" y="33338"/>
                </a:cubicBezTo>
                <a:cubicBezTo>
                  <a:pt x="5477" y="38894"/>
                  <a:pt x="0" y="47228"/>
                  <a:pt x="0" y="55563"/>
                </a:cubicBezTo>
                <a:lnTo>
                  <a:pt x="0" y="111125"/>
                </a:lnTo>
                <a:lnTo>
                  <a:pt x="292100" y="111125"/>
                </a:lnTo>
                <a:close/>
              </a:path>
            </a:pathLst>
          </a:custGeom>
          <a:solidFill>
            <a:srgbClr val="92D050"/>
          </a:solidFill>
          <a:ln w="4564" cap="flat">
            <a:noFill/>
            <a:prstDash val="solid"/>
            <a:miter/>
          </a:ln>
        </xdr:spPr>
      </xdr:sp>
    </xdr:grpSp>
    <xdr:clientData/>
  </xdr:twoCellAnchor>
  <xdr:twoCellAnchor>
    <xdr:from>
      <xdr:col>3</xdr:col>
      <xdr:colOff>428625</xdr:colOff>
      <xdr:row>4</xdr:row>
      <xdr:rowOff>47624</xdr:rowOff>
    </xdr:from>
    <xdr:to>
      <xdr:col>4</xdr:col>
      <xdr:colOff>333375</xdr:colOff>
      <xdr:row>5</xdr:row>
      <xdr:rowOff>133350</xdr:rowOff>
    </xdr:to>
    <xdr:sp macro="" textlink="Sheet2!C13">
      <xdr:nvSpPr>
        <xdr:cNvPr id="24" name="Rectangle: Rounded Corners 23">
          <a:extLst>
            <a:ext uri="{FF2B5EF4-FFF2-40B4-BE49-F238E27FC236}">
              <a16:creationId xmlns:a16="http://schemas.microsoft.com/office/drawing/2014/main" id="{C12FF363-6330-B51B-08EB-BA511AF37C2D}"/>
            </a:ext>
          </a:extLst>
        </xdr:cNvPr>
        <xdr:cNvSpPr/>
      </xdr:nvSpPr>
      <xdr:spPr>
        <a:xfrm>
          <a:off x="2257425" y="981074"/>
          <a:ext cx="514350" cy="276226"/>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3D0A6CF9-F69A-4EB9-BF25-54C1B0566FAA}" type="TxLink">
            <a:rPr lang="en-US" sz="1100" b="0" i="0" u="none" strike="noStrike">
              <a:solidFill>
                <a:srgbClr val="92D050"/>
              </a:solidFill>
              <a:latin typeface="Calibri"/>
              <a:ea typeface="Calibri"/>
              <a:cs typeface="Calibri"/>
            </a:rPr>
            <a:pPr algn="l"/>
            <a:t> </a:t>
          </a:fld>
          <a:endParaRPr lang="en-IN" sz="1100">
            <a:solidFill>
              <a:srgbClr val="92D050"/>
            </a:solidFill>
          </a:endParaRPr>
        </a:p>
      </xdr:txBody>
    </xdr:sp>
    <xdr:clientData/>
  </xdr:twoCellAnchor>
  <xdr:twoCellAnchor editAs="oneCell">
    <xdr:from>
      <xdr:col>12</xdr:col>
      <xdr:colOff>17106</xdr:colOff>
      <xdr:row>3</xdr:row>
      <xdr:rowOff>145596</xdr:rowOff>
    </xdr:from>
    <xdr:to>
      <xdr:col>13</xdr:col>
      <xdr:colOff>131410</xdr:colOff>
      <xdr:row>5</xdr:row>
      <xdr:rowOff>55984</xdr:rowOff>
    </xdr:to>
    <xdr:pic>
      <xdr:nvPicPr>
        <xdr:cNvPr id="27" name="Graphic 26" descr="Close with solid fill">
          <a:extLst>
            <a:ext uri="{FF2B5EF4-FFF2-40B4-BE49-F238E27FC236}">
              <a16:creationId xmlns:a16="http://schemas.microsoft.com/office/drawing/2014/main" id="{EA9CCE5B-FBB0-9D1F-39D9-D57B539742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64963" y="893989"/>
          <a:ext cx="726626" cy="299163"/>
        </a:xfrm>
        <a:prstGeom prst="rect">
          <a:avLst/>
        </a:prstGeom>
      </xdr:spPr>
    </xdr:pic>
    <xdr:clientData/>
  </xdr:twoCellAnchor>
  <xdr:twoCellAnchor>
    <xdr:from>
      <xdr:col>6</xdr:col>
      <xdr:colOff>266700</xdr:colOff>
      <xdr:row>3</xdr:row>
      <xdr:rowOff>180975</xdr:rowOff>
    </xdr:from>
    <xdr:to>
      <xdr:col>7</xdr:col>
      <xdr:colOff>361950</xdr:colOff>
      <xdr:row>5</xdr:row>
      <xdr:rowOff>66675</xdr:rowOff>
    </xdr:to>
    <xdr:sp macro="" textlink="Sheet2!C14">
      <xdr:nvSpPr>
        <xdr:cNvPr id="28" name="Rectangle: Rounded Corners 27">
          <a:extLst>
            <a:ext uri="{FF2B5EF4-FFF2-40B4-BE49-F238E27FC236}">
              <a16:creationId xmlns:a16="http://schemas.microsoft.com/office/drawing/2014/main" id="{537B2170-757D-3018-D917-A91B0BDA7821}"/>
            </a:ext>
          </a:extLst>
        </xdr:cNvPr>
        <xdr:cNvSpPr/>
      </xdr:nvSpPr>
      <xdr:spPr>
        <a:xfrm>
          <a:off x="3924300" y="923925"/>
          <a:ext cx="704850" cy="2667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7BE305D8-CB71-4638-B201-A746CB9FAD9F}" type="TxLink">
            <a:rPr lang="en-US" sz="1400" b="1" i="0" u="none" strike="noStrike">
              <a:solidFill>
                <a:srgbClr val="FF0000"/>
              </a:solidFill>
              <a:latin typeface="Calibri"/>
              <a:ea typeface="Calibri"/>
              <a:cs typeface="Calibri"/>
            </a:rPr>
            <a:pPr algn="l"/>
            <a:t> </a:t>
          </a:fld>
          <a:endParaRPr lang="en-IN" sz="1400" b="1">
            <a:solidFill>
              <a:srgbClr val="FF0000"/>
            </a:solidFill>
          </a:endParaRPr>
        </a:p>
      </xdr:txBody>
    </xdr:sp>
    <xdr:clientData/>
  </xdr:twoCellAnchor>
  <xdr:twoCellAnchor>
    <xdr:from>
      <xdr:col>8</xdr:col>
      <xdr:colOff>314325</xdr:colOff>
      <xdr:row>3</xdr:row>
      <xdr:rowOff>180975</xdr:rowOff>
    </xdr:from>
    <xdr:to>
      <xdr:col>9</xdr:col>
      <xdr:colOff>581025</xdr:colOff>
      <xdr:row>5</xdr:row>
      <xdr:rowOff>114300</xdr:rowOff>
    </xdr:to>
    <xdr:sp macro="" textlink="Sheet2!G13">
      <xdr:nvSpPr>
        <xdr:cNvPr id="2" name="Rectangle: Rounded Corners 1">
          <a:extLst>
            <a:ext uri="{FF2B5EF4-FFF2-40B4-BE49-F238E27FC236}">
              <a16:creationId xmlns:a16="http://schemas.microsoft.com/office/drawing/2014/main" id="{55BC53EC-A1E0-21B0-CD37-E2B2425C6B38}"/>
            </a:ext>
          </a:extLst>
        </xdr:cNvPr>
        <xdr:cNvSpPr/>
      </xdr:nvSpPr>
      <xdr:spPr>
        <a:xfrm>
          <a:off x="5191125" y="923925"/>
          <a:ext cx="876300" cy="314325"/>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0E3C642B-B3E4-4F10-B04C-E41FD188DF23}" type="TxLink">
            <a:rPr lang="en-US" sz="1400" b="1" i="0" u="none" strike="noStrike">
              <a:solidFill>
                <a:schemeClr val="accent6">
                  <a:lumMod val="75000"/>
                </a:schemeClr>
              </a:solidFill>
              <a:latin typeface="Calibri"/>
              <a:ea typeface="Calibri"/>
              <a:cs typeface="Calibri"/>
            </a:rPr>
            <a:pPr algn="ctr"/>
            <a:t> </a:t>
          </a:fld>
          <a:endParaRPr lang="en-IN" sz="1400" b="1">
            <a:solidFill>
              <a:schemeClr val="accent6">
                <a:lumMod val="75000"/>
              </a:schemeClr>
            </a:solidFill>
          </a:endParaRPr>
        </a:p>
      </xdr:txBody>
    </xdr:sp>
    <xdr:clientData/>
  </xdr:twoCellAnchor>
  <xdr:twoCellAnchor editAs="oneCell">
    <xdr:from>
      <xdr:col>15</xdr:col>
      <xdr:colOff>231516</xdr:colOff>
      <xdr:row>3</xdr:row>
      <xdr:rowOff>123242</xdr:rowOff>
    </xdr:from>
    <xdr:to>
      <xdr:col>16</xdr:col>
      <xdr:colOff>145790</xdr:colOff>
      <xdr:row>5</xdr:row>
      <xdr:rowOff>132768</xdr:rowOff>
    </xdr:to>
    <xdr:pic>
      <xdr:nvPicPr>
        <xdr:cNvPr id="6" name="Graphic 5" descr="Line arrow: Rotate right with solid fill">
          <a:extLst>
            <a:ext uri="{FF2B5EF4-FFF2-40B4-BE49-F238E27FC236}">
              <a16:creationId xmlns:a16="http://schemas.microsoft.com/office/drawing/2014/main" id="{32E5D034-D9F2-35B7-6E81-FBA0B4BB2E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416337" y="871635"/>
          <a:ext cx="526596" cy="398301"/>
        </a:xfrm>
        <a:prstGeom prst="rect">
          <a:avLst/>
        </a:prstGeom>
      </xdr:spPr>
    </xdr:pic>
    <xdr:clientData/>
  </xdr:twoCellAnchor>
  <xdr:twoCellAnchor>
    <xdr:from>
      <xdr:col>11</xdr:col>
      <xdr:colOff>238126</xdr:colOff>
      <xdr:row>3</xdr:row>
      <xdr:rowOff>171450</xdr:rowOff>
    </xdr:from>
    <xdr:to>
      <xdr:col>12</xdr:col>
      <xdr:colOff>295276</xdr:colOff>
      <xdr:row>5</xdr:row>
      <xdr:rowOff>104775</xdr:rowOff>
    </xdr:to>
    <xdr:sp macro="" textlink="Sheet2!B22">
      <xdr:nvSpPr>
        <xdr:cNvPr id="7" name="Rectangle: Rounded Corners 6">
          <a:extLst>
            <a:ext uri="{FF2B5EF4-FFF2-40B4-BE49-F238E27FC236}">
              <a16:creationId xmlns:a16="http://schemas.microsoft.com/office/drawing/2014/main" id="{1710A33F-6F5F-7464-2F15-CE23111F2A26}"/>
            </a:ext>
          </a:extLst>
        </xdr:cNvPr>
        <xdr:cNvSpPr/>
      </xdr:nvSpPr>
      <xdr:spPr>
        <a:xfrm>
          <a:off x="6943726" y="914400"/>
          <a:ext cx="666750" cy="314325"/>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l"/>
          <a:fld id="{F1E19E95-2348-43A3-B862-A5C38FFBDBEB}" type="TxLink">
            <a:rPr lang="en-US" sz="1200" b="0" i="0" u="none" strike="noStrike">
              <a:solidFill>
                <a:schemeClr val="accent4">
                  <a:lumMod val="50000"/>
                </a:schemeClr>
              </a:solidFill>
              <a:latin typeface="Calibri"/>
              <a:ea typeface="Calibri"/>
              <a:cs typeface="Calibri"/>
            </a:rPr>
            <a:pPr algn="l"/>
            <a:t> </a:t>
          </a:fld>
          <a:endParaRPr lang="en-IN" sz="1200">
            <a:solidFill>
              <a:schemeClr val="accent4">
                <a:lumMod val="50000"/>
              </a:schemeClr>
            </a:solidFill>
          </a:endParaRPr>
        </a:p>
      </xdr:txBody>
    </xdr:sp>
    <xdr:clientData/>
  </xdr:twoCellAnchor>
  <xdr:twoCellAnchor>
    <xdr:from>
      <xdr:col>13</xdr:col>
      <xdr:colOff>456228</xdr:colOff>
      <xdr:row>4</xdr:row>
      <xdr:rowOff>38683</xdr:rowOff>
    </xdr:from>
    <xdr:to>
      <xdr:col>15</xdr:col>
      <xdr:colOff>227628</xdr:colOff>
      <xdr:row>5</xdr:row>
      <xdr:rowOff>162508</xdr:rowOff>
    </xdr:to>
    <xdr:sp macro="" textlink="Sheet2!G21">
      <xdr:nvSpPr>
        <xdr:cNvPr id="19" name="Rectangle: Rounded Corners 18">
          <a:extLst>
            <a:ext uri="{FF2B5EF4-FFF2-40B4-BE49-F238E27FC236}">
              <a16:creationId xmlns:a16="http://schemas.microsoft.com/office/drawing/2014/main" id="{F40CD9F3-A1AD-8912-642E-E43B80252079}"/>
            </a:ext>
          </a:extLst>
        </xdr:cNvPr>
        <xdr:cNvSpPr/>
      </xdr:nvSpPr>
      <xdr:spPr>
        <a:xfrm>
          <a:off x="8416407" y="981464"/>
          <a:ext cx="996042" cy="318212"/>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DD163811-8EF6-4710-A4DF-FD2F259F27A3}" type="TxLink">
            <a:rPr lang="en-US" sz="1100" b="1" i="0" u="none" strike="noStrike">
              <a:solidFill>
                <a:schemeClr val="tx2">
                  <a:lumMod val="50000"/>
                </a:schemeClr>
              </a:solidFill>
              <a:latin typeface="Calibri"/>
              <a:ea typeface="Calibri"/>
              <a:cs typeface="Calibri"/>
            </a:rPr>
            <a:pPr algn="l"/>
            <a:t> </a:t>
          </a:fld>
          <a:endParaRPr lang="en-IN" sz="1100" b="1">
            <a:solidFill>
              <a:schemeClr val="tx2">
                <a:lumMod val="50000"/>
              </a:schemeClr>
            </a:solidFill>
          </a:endParaRPr>
        </a:p>
      </xdr:txBody>
    </xdr:sp>
    <xdr:clientData/>
  </xdr:twoCellAnchor>
  <xdr:twoCellAnchor>
    <xdr:from>
      <xdr:col>16</xdr:col>
      <xdr:colOff>66675</xdr:colOff>
      <xdr:row>3</xdr:row>
      <xdr:rowOff>171450</xdr:rowOff>
    </xdr:from>
    <xdr:to>
      <xdr:col>17</xdr:col>
      <xdr:colOff>447675</xdr:colOff>
      <xdr:row>5</xdr:row>
      <xdr:rowOff>123825</xdr:rowOff>
    </xdr:to>
    <xdr:sp macro="" textlink="Sheet2!I17">
      <xdr:nvSpPr>
        <xdr:cNvPr id="29" name="Rectangle: Rounded Corners 28">
          <a:extLst>
            <a:ext uri="{FF2B5EF4-FFF2-40B4-BE49-F238E27FC236}">
              <a16:creationId xmlns:a16="http://schemas.microsoft.com/office/drawing/2014/main" id="{6380E0C0-F159-6C8C-0A27-886C40508D38}"/>
            </a:ext>
          </a:extLst>
        </xdr:cNvPr>
        <xdr:cNvSpPr/>
      </xdr:nvSpPr>
      <xdr:spPr>
        <a:xfrm>
          <a:off x="9820275" y="914400"/>
          <a:ext cx="990600" cy="333375"/>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F39B9B61-9CD7-4805-A252-52B3B71194BD}" type="TxLink">
            <a:rPr lang="en-US" sz="1200" b="1" i="0" u="none" strike="noStrike">
              <a:solidFill>
                <a:schemeClr val="accent6">
                  <a:lumMod val="50000"/>
                </a:schemeClr>
              </a:solidFill>
              <a:latin typeface="Calibri"/>
              <a:ea typeface="Calibri"/>
              <a:cs typeface="Calibri"/>
            </a:rPr>
            <a:pPr algn="ctr"/>
            <a:t> </a:t>
          </a:fld>
          <a:endParaRPr lang="en-IN" sz="1200" b="1">
            <a:solidFill>
              <a:schemeClr val="accent6">
                <a:lumMod val="50000"/>
              </a:schemeClr>
            </a:solidFill>
          </a:endParaRPr>
        </a:p>
      </xdr:txBody>
    </xdr:sp>
    <xdr:clientData/>
  </xdr:twoCellAnchor>
  <xdr:twoCellAnchor>
    <xdr:from>
      <xdr:col>6</xdr:col>
      <xdr:colOff>464197</xdr:colOff>
      <xdr:row>3</xdr:row>
      <xdr:rowOff>184085</xdr:rowOff>
    </xdr:from>
    <xdr:to>
      <xdr:col>7</xdr:col>
      <xdr:colOff>368948</xdr:colOff>
      <xdr:row>5</xdr:row>
      <xdr:rowOff>56372</xdr:rowOff>
    </xdr:to>
    <xdr:sp macro="" textlink="Sheet2!B46">
      <xdr:nvSpPr>
        <xdr:cNvPr id="50" name="Rectangle: Rounded Corners 49">
          <a:extLst>
            <a:ext uri="{FF2B5EF4-FFF2-40B4-BE49-F238E27FC236}">
              <a16:creationId xmlns:a16="http://schemas.microsoft.com/office/drawing/2014/main" id="{9ED94588-30E4-5F81-6BFE-4751C45FFDDE}"/>
            </a:ext>
          </a:extLst>
        </xdr:cNvPr>
        <xdr:cNvSpPr/>
      </xdr:nvSpPr>
      <xdr:spPr>
        <a:xfrm>
          <a:off x="4138126" y="932478"/>
          <a:ext cx="517072" cy="261062"/>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597A2B37-B542-4104-8E7B-20ADDF81E246}" type="TxLink">
            <a:rPr lang="en-US" sz="1200" b="1" i="0" u="none" strike="noStrike">
              <a:solidFill>
                <a:schemeClr val="tx2"/>
              </a:solidFill>
              <a:latin typeface="Calibri"/>
              <a:ea typeface="Calibri"/>
              <a:cs typeface="Calibri"/>
            </a:rPr>
            <a:pPr algn="l"/>
            <a:t>300</a:t>
          </a:fld>
          <a:endParaRPr lang="en-IN" sz="1200" b="1">
            <a:solidFill>
              <a:schemeClr val="tx2"/>
            </a:solidFill>
          </a:endParaRPr>
        </a:p>
      </xdr:txBody>
    </xdr:sp>
    <xdr:clientData/>
  </xdr:twoCellAnchor>
  <xdr:twoCellAnchor>
    <xdr:from>
      <xdr:col>9</xdr:col>
      <xdr:colOff>437567</xdr:colOff>
      <xdr:row>3</xdr:row>
      <xdr:rowOff>181169</xdr:rowOff>
    </xdr:from>
    <xdr:to>
      <xdr:col>10</xdr:col>
      <xdr:colOff>389943</xdr:colOff>
      <xdr:row>5</xdr:row>
      <xdr:rowOff>95444</xdr:rowOff>
    </xdr:to>
    <xdr:sp macro="" textlink="Sheet2!E46">
      <xdr:nvSpPr>
        <xdr:cNvPr id="51" name="Rectangle: Rounded Corners 50">
          <a:extLst>
            <a:ext uri="{FF2B5EF4-FFF2-40B4-BE49-F238E27FC236}">
              <a16:creationId xmlns:a16="http://schemas.microsoft.com/office/drawing/2014/main" id="{92BE87B9-D744-12E8-0014-1CAEFCBC522A}"/>
            </a:ext>
          </a:extLst>
        </xdr:cNvPr>
        <xdr:cNvSpPr/>
      </xdr:nvSpPr>
      <xdr:spPr>
        <a:xfrm>
          <a:off x="5948460" y="929562"/>
          <a:ext cx="564697" cy="30305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D629CBCC-85DD-43C7-A869-B1BD0B97C302}" type="TxLink">
            <a:rPr lang="en-US" sz="1400" b="1" i="0" u="none" strike="noStrike">
              <a:solidFill>
                <a:schemeClr val="accent3">
                  <a:lumMod val="50000"/>
                </a:schemeClr>
              </a:solidFill>
              <a:latin typeface="Calibri"/>
              <a:ea typeface="Calibri"/>
              <a:cs typeface="Calibri"/>
            </a:rPr>
            <a:pPr algn="l"/>
            <a:t>149</a:t>
          </a:fld>
          <a:endParaRPr lang="en-IN" sz="1400" b="1">
            <a:solidFill>
              <a:schemeClr val="accent3">
                <a:lumMod val="50000"/>
              </a:schemeClr>
            </a:solidFill>
          </a:endParaRPr>
        </a:p>
      </xdr:txBody>
    </xdr:sp>
    <xdr:clientData/>
  </xdr:twoCellAnchor>
  <xdr:twoCellAnchor>
    <xdr:from>
      <xdr:col>13</xdr:col>
      <xdr:colOff>111384</xdr:colOff>
      <xdr:row>3</xdr:row>
      <xdr:rowOff>132961</xdr:rowOff>
    </xdr:from>
    <xdr:to>
      <xdr:col>14</xdr:col>
      <xdr:colOff>111384</xdr:colOff>
      <xdr:row>5</xdr:row>
      <xdr:rowOff>18661</xdr:rowOff>
    </xdr:to>
    <xdr:sp macro="" textlink="Sheet2!H46">
      <xdr:nvSpPr>
        <xdr:cNvPr id="52" name="Rectangle: Rounded Corners 51">
          <a:extLst>
            <a:ext uri="{FF2B5EF4-FFF2-40B4-BE49-F238E27FC236}">
              <a16:creationId xmlns:a16="http://schemas.microsoft.com/office/drawing/2014/main" id="{D33257FF-5B5D-D0E6-C93C-754D0C6805E1}"/>
            </a:ext>
          </a:extLst>
        </xdr:cNvPr>
        <xdr:cNvSpPr/>
      </xdr:nvSpPr>
      <xdr:spPr>
        <a:xfrm>
          <a:off x="8071563" y="881354"/>
          <a:ext cx="612321" cy="274475"/>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3B95E450-DE59-47A0-BBCA-3E85E50C7152}" type="TxLink">
            <a:rPr lang="en-US" sz="1400" b="1" i="0" u="none" strike="noStrike">
              <a:solidFill>
                <a:srgbClr val="FF0000"/>
              </a:solidFill>
              <a:latin typeface="Calibri"/>
              <a:ea typeface="Calibri"/>
              <a:cs typeface="Calibri"/>
            </a:rPr>
            <a:pPr algn="l"/>
            <a:t>151</a:t>
          </a:fld>
          <a:endParaRPr lang="en-IN" sz="1400" b="1">
            <a:solidFill>
              <a:srgbClr val="FF0000"/>
            </a:solidFill>
          </a:endParaRPr>
        </a:p>
      </xdr:txBody>
    </xdr:sp>
    <xdr:clientData/>
  </xdr:twoCellAnchor>
  <xdr:twoCellAnchor>
    <xdr:from>
      <xdr:col>16</xdr:col>
      <xdr:colOff>203718</xdr:colOff>
      <xdr:row>3</xdr:row>
      <xdr:rowOff>190694</xdr:rowOff>
    </xdr:from>
    <xdr:to>
      <xdr:col>17</xdr:col>
      <xdr:colOff>298969</xdr:colOff>
      <xdr:row>5</xdr:row>
      <xdr:rowOff>152594</xdr:rowOff>
    </xdr:to>
    <xdr:sp macro="" textlink="Sheet2!J46">
      <xdr:nvSpPr>
        <xdr:cNvPr id="53" name="Rectangle: Rounded Corners 52">
          <a:extLst>
            <a:ext uri="{FF2B5EF4-FFF2-40B4-BE49-F238E27FC236}">
              <a16:creationId xmlns:a16="http://schemas.microsoft.com/office/drawing/2014/main" id="{F7484E0B-1F93-7A5C-65E8-EE51C67A3063}"/>
            </a:ext>
          </a:extLst>
        </xdr:cNvPr>
        <xdr:cNvSpPr/>
      </xdr:nvSpPr>
      <xdr:spPr>
        <a:xfrm>
          <a:off x="10000861" y="939087"/>
          <a:ext cx="707572" cy="350675"/>
        </a:xfrm>
        <a:prstGeom prst="roundRect">
          <a:avLst>
            <a:gd name="adj" fmla="val 0"/>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9FE5987-8BCC-479C-BE56-606CB53FE45A}" type="TxLink">
            <a:rPr lang="en-US" sz="1400" b="1" i="0" u="none" strike="noStrike">
              <a:solidFill>
                <a:schemeClr val="accent6">
                  <a:lumMod val="75000"/>
                </a:schemeClr>
              </a:solidFill>
              <a:latin typeface="Calibri"/>
              <a:ea typeface="Calibri"/>
              <a:cs typeface="Calibri"/>
            </a:rPr>
            <a:pPr algn="l"/>
            <a:t>50.3</a:t>
          </a:fld>
          <a:endParaRPr lang="en-IN" sz="1400" b="1">
            <a:solidFill>
              <a:schemeClr val="accent6">
                <a:lumMod val="75000"/>
              </a:schemeClr>
            </a:solidFill>
          </a:endParaRPr>
        </a:p>
      </xdr:txBody>
    </xdr:sp>
    <xdr:clientData/>
  </xdr:twoCellAnchor>
  <xdr:twoCellAnchor>
    <xdr:from>
      <xdr:col>3</xdr:col>
      <xdr:colOff>155510</xdr:colOff>
      <xdr:row>5</xdr:row>
      <xdr:rowOff>184669</xdr:rowOff>
    </xdr:from>
    <xdr:to>
      <xdr:col>8</xdr:col>
      <xdr:colOff>0</xdr:colOff>
      <xdr:row>13</xdr:row>
      <xdr:rowOff>174948</xdr:rowOff>
    </xdr:to>
    <xdr:graphicFrame macro="">
      <xdr:nvGraphicFramePr>
        <xdr:cNvPr id="57" name="Chart 56">
          <a:extLst>
            <a:ext uri="{FF2B5EF4-FFF2-40B4-BE49-F238E27FC236}">
              <a16:creationId xmlns:a16="http://schemas.microsoft.com/office/drawing/2014/main" id="{1718C3E8-04B8-4D1D-8973-BD3DA4D5A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505409</xdr:colOff>
      <xdr:row>5</xdr:row>
      <xdr:rowOff>165230</xdr:rowOff>
    </xdr:from>
    <xdr:to>
      <xdr:col>16</xdr:col>
      <xdr:colOff>337263</xdr:colOff>
      <xdr:row>13</xdr:row>
      <xdr:rowOff>165229</xdr:rowOff>
    </xdr:to>
    <xdr:graphicFrame macro="">
      <xdr:nvGraphicFramePr>
        <xdr:cNvPr id="59" name="Chart 58">
          <a:extLst>
            <a:ext uri="{FF2B5EF4-FFF2-40B4-BE49-F238E27FC236}">
              <a16:creationId xmlns:a16="http://schemas.microsoft.com/office/drawing/2014/main" id="{3EF90FCC-D4EE-4BCC-BEAB-E73882907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161925</xdr:colOff>
      <xdr:row>14</xdr:row>
      <xdr:rowOff>28576</xdr:rowOff>
    </xdr:from>
    <xdr:to>
      <xdr:col>8</xdr:col>
      <xdr:colOff>114300</xdr:colOff>
      <xdr:row>23</xdr:row>
      <xdr:rowOff>66676</xdr:rowOff>
    </xdr:to>
    <xdr:graphicFrame macro="">
      <xdr:nvGraphicFramePr>
        <xdr:cNvPr id="60" name="Chart 59">
          <a:extLst>
            <a:ext uri="{FF2B5EF4-FFF2-40B4-BE49-F238E27FC236}">
              <a16:creationId xmlns:a16="http://schemas.microsoft.com/office/drawing/2014/main" id="{48F7BA9A-3791-46E3-A0D1-CF4E8303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131796</xdr:colOff>
      <xdr:row>14</xdr:row>
      <xdr:rowOff>9136</xdr:rowOff>
    </xdr:from>
    <xdr:to>
      <xdr:col>12</xdr:col>
      <xdr:colOff>246096</xdr:colOff>
      <xdr:row>23</xdr:row>
      <xdr:rowOff>48597</xdr:rowOff>
    </xdr:to>
    <xdr:graphicFrame macro="">
      <xdr:nvGraphicFramePr>
        <xdr:cNvPr id="18" name="Chart 17">
          <a:extLst>
            <a:ext uri="{FF2B5EF4-FFF2-40B4-BE49-F238E27FC236}">
              <a16:creationId xmlns:a16="http://schemas.microsoft.com/office/drawing/2014/main" id="{1AE96F1A-1A0D-4A30-BC44-1F31C6BB4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303245</xdr:colOff>
      <xdr:row>14</xdr:row>
      <xdr:rowOff>28380</xdr:rowOff>
    </xdr:from>
    <xdr:to>
      <xdr:col>16</xdr:col>
      <xdr:colOff>293720</xdr:colOff>
      <xdr:row>22</xdr:row>
      <xdr:rowOff>194193</xdr:rowOff>
    </xdr:to>
    <xdr:graphicFrame macro="">
      <xdr:nvGraphicFramePr>
        <xdr:cNvPr id="23" name="Chart 22">
          <a:extLst>
            <a:ext uri="{FF2B5EF4-FFF2-40B4-BE49-F238E27FC236}">
              <a16:creationId xmlns:a16="http://schemas.microsoft.com/office/drawing/2014/main" id="{87E07BFF-651E-457F-BAF5-D09C7B23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355146</xdr:colOff>
      <xdr:row>5</xdr:row>
      <xdr:rowOff>184474</xdr:rowOff>
    </xdr:from>
    <xdr:to>
      <xdr:col>20</xdr:col>
      <xdr:colOff>417933</xdr:colOff>
      <xdr:row>13</xdr:row>
      <xdr:rowOff>94861</xdr:rowOff>
    </xdr:to>
    <xdr:graphicFrame macro="">
      <xdr:nvGraphicFramePr>
        <xdr:cNvPr id="30" name="Chart 29">
          <a:extLst>
            <a:ext uri="{FF2B5EF4-FFF2-40B4-BE49-F238E27FC236}">
              <a16:creationId xmlns:a16="http://schemas.microsoft.com/office/drawing/2014/main" id="{FF7F6490-70BA-44CF-A48A-052D270F1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341347</xdr:colOff>
      <xdr:row>14</xdr:row>
      <xdr:rowOff>19244</xdr:rowOff>
    </xdr:from>
    <xdr:to>
      <xdr:col>20</xdr:col>
      <xdr:colOff>437373</xdr:colOff>
      <xdr:row>23</xdr:row>
      <xdr:rowOff>66869</xdr:rowOff>
    </xdr:to>
    <xdr:graphicFrame macro="">
      <xdr:nvGraphicFramePr>
        <xdr:cNvPr id="32" name="Chart 31">
          <a:extLst>
            <a:ext uri="{FF2B5EF4-FFF2-40B4-BE49-F238E27FC236}">
              <a16:creationId xmlns:a16="http://schemas.microsoft.com/office/drawing/2014/main" id="{9F81C47E-2FFF-49C0-98B2-C86462A64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85725</xdr:colOff>
      <xdr:row>2</xdr:row>
      <xdr:rowOff>155121</xdr:rowOff>
    </xdr:from>
    <xdr:to>
      <xdr:col>3</xdr:col>
      <xdr:colOff>85725</xdr:colOff>
      <xdr:row>12</xdr:row>
      <xdr:rowOff>8358</xdr:rowOff>
    </xdr:to>
    <mc:AlternateContent xmlns:mc="http://schemas.openxmlformats.org/markup-compatibility/2006" xmlns:a14="http://schemas.microsoft.com/office/drawing/2010/main">
      <mc:Choice Requires="a14">
        <xdr:graphicFrame macro="">
          <xdr:nvGraphicFramePr>
            <xdr:cNvPr id="33" name="Department">
              <a:extLst>
                <a:ext uri="{FF2B5EF4-FFF2-40B4-BE49-F238E27FC236}">
                  <a16:creationId xmlns:a16="http://schemas.microsoft.com/office/drawing/2014/main" id="{F1CDE65F-5F4B-4D38-B14D-DEF14A50F5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725" y="709126"/>
              <a:ext cx="1836964" cy="1797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105164</xdr:colOff>
      <xdr:row>12</xdr:row>
      <xdr:rowOff>46265</xdr:rowOff>
    </xdr:from>
    <xdr:to>
      <xdr:col>3</xdr:col>
      <xdr:colOff>87475</xdr:colOff>
      <xdr:row>16</xdr:row>
      <xdr:rowOff>154927</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43B56455-45B0-4BE8-B89B-0F8E05597D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164" y="2544148"/>
              <a:ext cx="1819275" cy="886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75617</xdr:colOff>
      <xdr:row>17</xdr:row>
      <xdr:rowOff>28187</xdr:rowOff>
    </xdr:from>
    <xdr:to>
      <xdr:col>3</xdr:col>
      <xdr:colOff>75617</xdr:colOff>
      <xdr:row>22</xdr:row>
      <xdr:rowOff>104386</xdr:rowOff>
    </xdr:to>
    <mc:AlternateContent xmlns:mc="http://schemas.openxmlformats.org/markup-compatibility/2006" xmlns:a14="http://schemas.microsoft.com/office/drawing/2010/main">
      <mc:Choice Requires="a14">
        <xdr:graphicFrame macro="">
          <xdr:nvGraphicFramePr>
            <xdr:cNvPr id="35" name="Attrition">
              <a:extLst>
                <a:ext uri="{FF2B5EF4-FFF2-40B4-BE49-F238E27FC236}">
                  <a16:creationId xmlns:a16="http://schemas.microsoft.com/office/drawing/2014/main" id="{3805051C-AA5C-4B3D-8088-DA95A6B6A0D6}"/>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5617" y="3498008"/>
              <a:ext cx="1836964" cy="1048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0</xdr:row>
      <xdr:rowOff>57150</xdr:rowOff>
    </xdr:from>
    <xdr:to>
      <xdr:col>20</xdr:col>
      <xdr:colOff>161926</xdr:colOff>
      <xdr:row>2</xdr:row>
      <xdr:rowOff>47625</xdr:rowOff>
    </xdr:to>
    <xdr:sp macro="" textlink="">
      <xdr:nvSpPr>
        <xdr:cNvPr id="15" name="Rectangle: Rounded Corners 14">
          <a:extLst>
            <a:ext uri="{FF2B5EF4-FFF2-40B4-BE49-F238E27FC236}">
              <a16:creationId xmlns:a16="http://schemas.microsoft.com/office/drawing/2014/main" id="{43BB725A-4C4B-28C2-9C5D-6F26273B3B54}"/>
            </a:ext>
          </a:extLst>
        </xdr:cNvPr>
        <xdr:cNvSpPr/>
      </xdr:nvSpPr>
      <xdr:spPr>
        <a:xfrm>
          <a:off x="152400" y="57150"/>
          <a:ext cx="12201526" cy="542925"/>
        </a:xfrm>
        <a:prstGeom prst="round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133349</xdr:colOff>
      <xdr:row>0</xdr:row>
      <xdr:rowOff>171450</xdr:rowOff>
    </xdr:from>
    <xdr:to>
      <xdr:col>15</xdr:col>
      <xdr:colOff>28574</xdr:colOff>
      <xdr:row>1</xdr:row>
      <xdr:rowOff>314325</xdr:rowOff>
    </xdr:to>
    <xdr:sp macro="" textlink="">
      <xdr:nvSpPr>
        <xdr:cNvPr id="16" name="TextBox 15">
          <a:extLst>
            <a:ext uri="{FF2B5EF4-FFF2-40B4-BE49-F238E27FC236}">
              <a16:creationId xmlns:a16="http://schemas.microsoft.com/office/drawing/2014/main" id="{0A51446B-46B3-883D-C2F1-D6139C2EBFD9}"/>
            </a:ext>
          </a:extLst>
        </xdr:cNvPr>
        <xdr:cNvSpPr txBox="1"/>
      </xdr:nvSpPr>
      <xdr:spPr>
        <a:xfrm>
          <a:off x="3181349" y="171450"/>
          <a:ext cx="59912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2">
                  <a:lumMod val="50000"/>
                </a:schemeClr>
              </a:solidFill>
              <a:effectLst>
                <a:outerShdw blurRad="50800" dist="50800" dir="5400000" algn="ctr" rotWithShape="0">
                  <a:schemeClr val="tx2">
                    <a:lumMod val="60000"/>
                    <a:lumOff val="40000"/>
                  </a:schemeClr>
                </a:outerShdw>
              </a:effectLst>
            </a:rPr>
            <a:t>HR ANALYTICS DASHBOARD</a:t>
          </a:r>
        </a:p>
      </xdr:txBody>
    </xdr:sp>
    <xdr:clientData/>
  </xdr:twoCellAnchor>
  <xdr:twoCellAnchor editAs="oneCell">
    <xdr:from>
      <xdr:col>5</xdr:col>
      <xdr:colOff>314325</xdr:colOff>
      <xdr:row>0</xdr:row>
      <xdr:rowOff>123825</xdr:rowOff>
    </xdr:from>
    <xdr:to>
      <xdr:col>7</xdr:col>
      <xdr:colOff>9525</xdr:colOff>
      <xdr:row>2</xdr:row>
      <xdr:rowOff>9525</xdr:rowOff>
    </xdr:to>
    <xdr:pic>
      <xdr:nvPicPr>
        <xdr:cNvPr id="37" name="Graphic 36" descr="Statistics with solid fill">
          <a:extLst>
            <a:ext uri="{FF2B5EF4-FFF2-40B4-BE49-F238E27FC236}">
              <a16:creationId xmlns:a16="http://schemas.microsoft.com/office/drawing/2014/main" id="{3E53E4E1-1D30-C3F6-4557-4C9ECC39344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362325" y="123825"/>
          <a:ext cx="914400" cy="438150"/>
        </a:xfrm>
        <a:prstGeom prst="rect">
          <a:avLst/>
        </a:prstGeom>
      </xdr:spPr>
    </xdr:pic>
    <xdr:clientData/>
  </xdr:twoCellAnchor>
  <xdr:twoCellAnchor>
    <xdr:from>
      <xdr:col>8</xdr:col>
      <xdr:colOff>19439</xdr:colOff>
      <xdr:row>5</xdr:row>
      <xdr:rowOff>184669</xdr:rowOff>
    </xdr:from>
    <xdr:to>
      <xdr:col>12</xdr:col>
      <xdr:colOff>466530</xdr:colOff>
      <xdr:row>13</xdr:row>
      <xdr:rowOff>155511</xdr:rowOff>
    </xdr:to>
    <xdr:graphicFrame macro="">
      <xdr:nvGraphicFramePr>
        <xdr:cNvPr id="47" name="Chart 46">
          <a:extLst>
            <a:ext uri="{FF2B5EF4-FFF2-40B4-BE49-F238E27FC236}">
              <a16:creationId xmlns:a16="http://schemas.microsoft.com/office/drawing/2014/main" id="{919A0907-CB5B-498B-BE3A-BF1331BB6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65349178241" createdVersion="8" refreshedVersion="8" minRefreshableVersion="3" recordCount="300" xr:uid="{62B96354-8C05-4E2B-9092-0168DE8AE019}">
  <cacheSource type="worksheet">
    <worksheetSource ref="A1:M301" sheet="HR_Data"/>
  </cacheSource>
  <cacheFields count="13">
    <cacheField name="Employee_ID" numFmtId="0">
      <sharedItems/>
    </cacheField>
    <cacheField name="Name" numFmtId="0">
      <sharedItems/>
    </cacheField>
    <cacheField name="Department" numFmtId="0">
      <sharedItems count="5">
        <s v="Marketing"/>
        <s v="Finance"/>
        <s v="HR"/>
        <s v="IT"/>
        <s v="Sales"/>
      </sharedItems>
    </cacheField>
    <cacheField name="Gender" numFmtId="0">
      <sharedItems count="2">
        <s v="Male"/>
        <s v="Female"/>
      </sharedItems>
    </cacheField>
    <cacheField name="Age" numFmtId="0">
      <sharedItems containsSemiMixedTypes="0" containsString="0" containsNumber="1" containsInteger="1" minValue="22" maxValue="50" count="29">
        <n v="29"/>
        <n v="42"/>
        <n v="28"/>
        <n v="23"/>
        <n v="24"/>
        <n v="27"/>
        <n v="35"/>
        <n v="38"/>
        <n v="34"/>
        <n v="32"/>
        <n v="39"/>
        <n v="47"/>
        <n v="31"/>
        <n v="45"/>
        <n v="43"/>
        <n v="44"/>
        <n v="33"/>
        <n v="50"/>
        <n v="48"/>
        <n v="46"/>
        <n v="41"/>
        <n v="49"/>
        <n v="26"/>
        <n v="30"/>
        <n v="36"/>
        <n v="25"/>
        <n v="40"/>
        <n v="22"/>
        <n v="37"/>
      </sharedItems>
      <fieldGroup base="4">
        <rangePr autoStart="0" startNum="22" endNum="50" groupInterval="5"/>
        <groupItems count="8">
          <s v="&lt;22"/>
          <s v="22-26"/>
          <s v="27-31"/>
          <s v="32-36"/>
          <s v="37-41"/>
          <s v="42-46"/>
          <s v="47-51"/>
          <s v="&gt;52"/>
        </groupItems>
      </fieldGroup>
    </cacheField>
    <cacheField name="Joining_Date" numFmtId="0">
      <sharedItems count="281">
        <s v="2016-05-21"/>
        <s v="2018-06-12"/>
        <s v="2015-12-25"/>
        <s v="2016-02-14"/>
        <s v="2015-08-11"/>
        <s v="2015-09-26"/>
        <s v="2017-02-26"/>
        <s v="2018-06-13"/>
        <s v="2017-01-26"/>
        <s v="2016-12-31"/>
        <s v="2019-09-19"/>
        <s v="2021-07-03"/>
        <s v="2016-08-30"/>
        <s v="2022-07-10"/>
        <s v="2017-03-29"/>
        <s v="2020-12-21"/>
        <s v="2016-09-25"/>
        <s v="2020-02-11"/>
        <s v="2019-06-07"/>
        <s v="2019-02-18"/>
        <s v="2021-05-07"/>
        <s v="2019-01-17"/>
        <s v="2022-01-02"/>
        <s v="2021-06-07"/>
        <s v="2019-12-14"/>
        <s v="2018-07-25"/>
        <s v="2016-12-12"/>
        <s v="2022-03-03"/>
        <s v="2018-07-18"/>
        <s v="2022-01-12"/>
        <s v="2020-01-25"/>
        <s v="2016-11-26"/>
        <s v="2021-12-27"/>
        <s v="2016-07-06"/>
        <s v="2020-07-26"/>
        <s v="2019-08-05"/>
        <s v="2021-09-28"/>
        <s v="2015-06-01"/>
        <s v="2017-04-03"/>
        <s v="2016-09-18"/>
        <s v="2018-08-06"/>
        <s v="2017-04-17"/>
        <s v="2021-01-25"/>
        <s v="2015-03-31"/>
        <s v="2020-02-25"/>
        <s v="2016-09-12"/>
        <s v="2020-01-04"/>
        <s v="2021-07-07"/>
        <s v="2020-06-14"/>
        <s v="2020-10-22"/>
        <s v="2022-03-30"/>
        <s v="2017-12-09"/>
        <s v="2015-10-31"/>
        <s v="2018-09-03"/>
        <s v="2020-12-16"/>
        <s v="2020-03-06"/>
        <s v="2017-11-03"/>
        <s v="2016-11-10"/>
        <s v="2015-09-04"/>
        <s v="2020-07-13"/>
        <s v="2023-02-28"/>
        <s v="2020-04-03"/>
        <s v="2019-11-19"/>
        <s v="2016-06-10"/>
        <s v="2016-06-03"/>
        <s v="2017-12-02"/>
        <s v="2017-10-02"/>
        <s v="2021-04-18"/>
        <s v="2021-01-01"/>
        <s v="2018-11-04"/>
        <s v="2019-08-10"/>
        <s v="2018-03-01"/>
        <s v="2020-11-06"/>
        <s v="2021-10-19"/>
        <s v="2017-09-12"/>
        <s v="2019-04-14"/>
        <s v="2018-08-30"/>
        <s v="2020-05-02"/>
        <s v="2017-07-28"/>
        <s v="2020-12-08"/>
        <s v="2021-12-12"/>
        <s v="2019-03-21"/>
        <s v="2021-05-27"/>
        <s v="2017-01-27"/>
        <s v="2019-12-06"/>
        <s v="2015-07-20"/>
        <s v="2022-11-11"/>
        <s v="2019-01-05"/>
        <s v="2018-10-23"/>
        <s v="2018-07-15"/>
        <s v="2022-11-03"/>
        <s v="2022-11-28"/>
        <s v="2021-01-28"/>
        <s v="2016-07-03"/>
        <s v="2017-04-13"/>
        <s v="2020-06-20"/>
        <s v="2022-05-31"/>
        <s v="2017-04-14"/>
        <s v="2022-10-30"/>
        <s v="2017-03-27"/>
        <s v="2015-07-19"/>
        <s v="2015-05-12"/>
        <s v="2017-03-06"/>
        <s v="2015-07-04"/>
        <s v="2018-02-28"/>
        <s v="2019-06-19"/>
        <s v="2019-05-27"/>
        <s v="2015-07-06"/>
        <s v="2016-01-08"/>
        <s v="2021-04-15"/>
        <s v="2021-09-24"/>
        <s v="2018-02-12"/>
        <s v="2021-02-14"/>
        <s v="2016-10-12"/>
        <s v="2021-10-30"/>
        <s v="2016-02-15"/>
        <s v="2017-03-13"/>
        <s v="2018-08-19"/>
        <s v="2017-01-29"/>
        <s v="2018-12-05"/>
        <s v="2023-03-20"/>
        <s v="2018-06-16"/>
        <s v="2021-05-13"/>
        <s v="2019-03-14"/>
        <s v="2022-02-23"/>
        <s v="2021-09-19"/>
        <s v="2019-08-01"/>
        <s v="2015-02-12"/>
        <s v="2021-05-19"/>
        <s v="2018-02-24"/>
        <s v="2017-03-07"/>
        <s v="2022-08-30"/>
        <s v="2023-02-02"/>
        <s v="2016-07-19"/>
        <s v="2017-07-11"/>
        <s v="2021-10-07"/>
        <s v="2018-10-27"/>
        <s v="2018-04-30"/>
        <s v="2015-12-01"/>
        <s v="2018-12-28"/>
        <s v="2022-01-01"/>
        <s v="2020-11-07"/>
        <s v="2016-06-15"/>
        <s v="2023-01-21"/>
        <s v="2020-02-23"/>
        <s v="2021-10-31"/>
        <s v="2022-11-09"/>
        <s v="2019-10-21"/>
        <s v="2022-06-27"/>
        <s v="2021-09-17"/>
        <s v="2019-12-07"/>
        <s v="2016-05-18"/>
        <s v="2017-06-30"/>
        <s v="2022-06-18"/>
        <s v="2015-08-19"/>
        <s v="2016-10-31"/>
        <s v="2016-03-25"/>
        <s v="2021-03-30"/>
        <s v="2020-02-27"/>
        <s v="2021-03-21"/>
        <s v="2022-07-14"/>
        <s v="2019-11-01"/>
        <s v="2015-01-15"/>
        <s v="2022-05-19"/>
        <s v="2020-11-27"/>
        <s v="2016-10-16"/>
        <s v="2016-09-06"/>
        <s v="2019-06-04"/>
        <s v="2021-08-03"/>
        <s v="2020-11-28"/>
        <s v="2020-12-23"/>
        <s v="2020-10-16"/>
        <s v="2020-08-17"/>
        <s v="2015-04-06"/>
        <s v="2017-12-06"/>
        <s v="2017-08-02"/>
        <s v="2020-07-05"/>
        <s v="2017-07-02"/>
        <s v="2020-08-04"/>
        <s v="2020-02-17"/>
        <s v="2021-04-14"/>
        <s v="2016-12-03"/>
        <s v="2016-04-02"/>
        <s v="2020-04-24"/>
        <s v="2022-09-13"/>
        <s v="2021-03-22"/>
        <s v="2017-12-07"/>
        <s v="2017-04-24"/>
        <s v="2018-01-01"/>
        <s v="2017-09-01"/>
        <s v="2016-04-23"/>
        <s v="2018-04-13"/>
        <s v="2018-11-24"/>
        <s v="2016-08-02"/>
        <s v="2018-03-30"/>
        <s v="2019-12-15"/>
        <s v="2022-01-24"/>
        <s v="2016-08-27"/>
        <s v="2023-02-20"/>
        <s v="2017-04-08"/>
        <s v="2023-03-01"/>
        <s v="2020-08-21"/>
        <s v="2018-10-02"/>
        <s v="2018-10-29"/>
        <s v="2017-01-03"/>
        <s v="2020-07-27"/>
        <s v="2021-02-19"/>
        <s v="2021-01-04"/>
        <s v="2020-08-14"/>
        <s v="2015-05-28"/>
        <s v="2021-03-29"/>
        <s v="2020-09-10"/>
        <s v="2017-09-27"/>
        <s v="2015-03-09"/>
        <s v="2016-03-13"/>
        <s v="2018-10-08"/>
        <s v="2022-11-29"/>
        <s v="2023-02-27"/>
        <s v="2021-08-28"/>
        <s v="2018-02-25"/>
        <s v="2020-09-27"/>
        <s v="2015-12-02"/>
        <s v="2016-09-22"/>
        <s v="2016-12-07"/>
        <s v="2022-12-31"/>
        <s v="2015-12-28"/>
        <s v="2019-01-03"/>
        <s v="2019-08-25"/>
        <s v="2021-01-03"/>
        <s v="2023-02-08"/>
        <s v="2015-10-29"/>
        <s v="2017-05-11"/>
        <s v="2023-01-25"/>
        <s v="2015-10-17"/>
        <s v="2022-03-22"/>
        <s v="2016-07-14"/>
        <s v="2015-05-06"/>
        <s v="2015-03-24"/>
        <s v="2018-11-28"/>
        <s v="2022-09-28"/>
        <s v="2019-08-04"/>
        <s v="2018-01-09"/>
        <s v="2020-01-07"/>
        <s v="2019-09-15"/>
        <s v="2018-10-24"/>
        <s v="2016-04-07"/>
        <s v="2018-05-23"/>
        <s v="2020-08-09"/>
        <s v="2016-04-27"/>
        <s v="2017-04-02"/>
        <s v="2016-01-10"/>
        <s v="2023-02-13"/>
        <s v="2019-07-31"/>
        <s v="2019-10-23"/>
        <s v="2022-07-17"/>
        <s v="2015-10-21"/>
        <s v="2017-10-08"/>
        <s v="2018-09-01"/>
        <s v="2018-12-03"/>
        <s v="2021-07-21"/>
        <s v="2021-04-13"/>
        <s v="2017-10-28"/>
        <s v="2020-02-12"/>
        <s v="2018-12-06"/>
        <s v="2022-08-06"/>
        <s v="2020-11-05"/>
        <s v="2021-11-17"/>
        <s v="2019-08-02"/>
        <s v="2019-04-01"/>
        <s v="2021-07-24"/>
        <s v="2015-05-27"/>
        <s v="2017-05-04"/>
        <s v="2021-03-05"/>
        <s v="2017-10-23"/>
        <s v="2019-03-20"/>
        <s v="2017-08-23"/>
        <s v="2015-05-23"/>
        <s v="2020-06-03"/>
        <s v="2020-01-31"/>
        <s v="2021-03-23"/>
        <s v="2016-11-23"/>
      </sharedItems>
    </cacheField>
    <cacheField name="Exit_Date" numFmtId="0">
      <sharedItems containsBlank="1"/>
    </cacheField>
    <cacheField name="Salary" numFmtId="0">
      <sharedItems containsSemiMixedTypes="0" containsString="0" containsNumber="1" containsInteger="1" minValue="25164" maxValue="119991"/>
    </cacheField>
    <cacheField name="Attrition" numFmtId="0">
      <sharedItems count="2">
        <s v="Yes"/>
        <s v="No"/>
      </sharedItems>
    </cacheField>
    <cacheField name="Performance_Rating" numFmtId="0">
      <sharedItems containsSemiMixedTypes="0" containsString="0" containsNumber="1" containsInteger="1" minValue="1" maxValue="5"/>
    </cacheField>
    <cacheField name="Experience" numFmtId="0">
      <sharedItems containsString="0" containsBlank="1" containsNumber="1" minValue="0.11232876712328767" maxValue="4.087671232876712"/>
    </cacheField>
    <cacheField name="Position" numFmtId="0">
      <sharedItems/>
    </cacheField>
    <cacheField name="Performance level" numFmtId="0">
      <sharedItems count="3">
        <s v="Low rating"/>
        <s v="Medium rating"/>
        <s v="High rating"/>
      </sharedItems>
    </cacheField>
  </cacheFields>
  <extLst>
    <ext xmlns:x14="http://schemas.microsoft.com/office/spreadsheetml/2009/9/main" uri="{725AE2AE-9491-48be-B2B4-4EB974FC3084}">
      <x14:pivotCacheDefinition pivotCacheId="7960990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653938425923" createdVersion="8" refreshedVersion="8" minRefreshableVersion="3" recordCount="300" xr:uid="{6A532686-5FD1-4FA7-9691-2F30E8F5ADD3}">
  <cacheSource type="worksheet">
    <worksheetSource ref="A1:M301" sheet="HR_Data"/>
  </cacheSource>
  <cacheFields count="14">
    <cacheField name="Employee_ID" numFmtId="0">
      <sharedItems/>
    </cacheField>
    <cacheField name="Name" numFmtId="0">
      <sharedItems/>
    </cacheField>
    <cacheField name="Department" numFmtId="0">
      <sharedItems count="5">
        <s v="Marketing"/>
        <s v="Finance"/>
        <s v="HR"/>
        <s v="IT"/>
        <s v="Sales"/>
      </sharedItems>
    </cacheField>
    <cacheField name="Gender" numFmtId="0">
      <sharedItems count="2">
        <s v="Male"/>
        <s v="Female"/>
      </sharedItems>
    </cacheField>
    <cacheField name="Age" numFmtId="0">
      <sharedItems containsSemiMixedTypes="0" containsString="0" containsNumber="1" containsInteger="1" minValue="22" maxValue="50"/>
    </cacheField>
    <cacheField name="Joining_Date" numFmtId="0">
      <sharedItems/>
    </cacheField>
    <cacheField name="Exit_Date" numFmtId="0">
      <sharedItems containsBlank="1"/>
    </cacheField>
    <cacheField name="Salary" numFmtId="0">
      <sharedItems containsSemiMixedTypes="0" containsString="0" containsNumber="1" containsInteger="1" minValue="25164" maxValue="119991"/>
    </cacheField>
    <cacheField name="Attrition" numFmtId="0">
      <sharedItems count="2">
        <s v="Yes"/>
        <s v="No"/>
      </sharedItems>
    </cacheField>
    <cacheField name="Performance_Rating" numFmtId="0">
      <sharedItems containsSemiMixedTypes="0" containsString="0" containsNumber="1" containsInteger="1" minValue="1" maxValue="5"/>
    </cacheField>
    <cacheField name="Experience" numFmtId="0">
      <sharedItems containsString="0" containsBlank="1" containsNumber="1" minValue="0.11232876712328767" maxValue="4.087671232876712"/>
    </cacheField>
    <cacheField name="Position" numFmtId="0">
      <sharedItems/>
    </cacheField>
    <cacheField name="Performance level" numFmtId="0">
      <sharedItems/>
    </cacheField>
    <cacheField name="Year" numFmtId="0">
      <sharedItems containsSemiMixedTypes="0" containsString="0" containsNumber="1" containsInteger="1" minValue="2015" maxValue="2023" count="9">
        <n v="2016"/>
        <n v="2018"/>
        <n v="2015"/>
        <n v="2017"/>
        <n v="2019"/>
        <n v="2021"/>
        <n v="2022"/>
        <n v="2020"/>
        <n v="2023"/>
      </sharedItems>
    </cacheField>
  </cacheFields>
  <extLst>
    <ext xmlns:x14="http://schemas.microsoft.com/office/spreadsheetml/2009/9/main" uri="{725AE2AE-9491-48be-B2B4-4EB974FC3084}">
      <x14:pivotCacheDefinition pivotCacheId="3978188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9.869697569447" createdVersion="8" refreshedVersion="8" minRefreshableVersion="3" recordCount="300" xr:uid="{4E1F5BA4-2EE8-444F-B5FC-47FB1FF617AC}">
  <cacheSource type="worksheet">
    <worksheetSource ref="A1:N301" sheet="HR_Data"/>
  </cacheSource>
  <cacheFields count="14">
    <cacheField name="Employee_ID" numFmtId="0">
      <sharedItems count="3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haredItems>
    </cacheField>
    <cacheField name="Name" numFmtId="0">
      <sharedItems count="10">
        <s v="Anjali"/>
        <s v="Priya"/>
        <s v="Neha"/>
        <s v="Rahul"/>
        <s v="Sneha"/>
        <s v="Rohit"/>
        <s v="Amit"/>
        <s v="Arjun"/>
        <s v="Pooja"/>
        <s v="Karan"/>
      </sharedItems>
    </cacheField>
    <cacheField name="Department" numFmtId="0">
      <sharedItems count="5">
        <s v="Marketing"/>
        <s v="Finance"/>
        <s v="HR"/>
        <s v="IT"/>
        <s v="Sales"/>
      </sharedItems>
    </cacheField>
    <cacheField name="Gender" numFmtId="0">
      <sharedItems count="2">
        <s v="Male"/>
        <s v="Female"/>
      </sharedItems>
    </cacheField>
    <cacheField name="Age" numFmtId="0">
      <sharedItems containsSemiMixedTypes="0" containsString="0" containsNumber="1" containsInteger="1" minValue="22" maxValue="50"/>
    </cacheField>
    <cacheField name="Joining_Date" numFmtId="0">
      <sharedItems count="281">
        <s v="2016-05-21"/>
        <s v="2018-06-12"/>
        <s v="2015-12-25"/>
        <s v="2016-02-14"/>
        <s v="2015-08-11"/>
        <s v="2015-09-26"/>
        <s v="2017-02-26"/>
        <s v="2018-06-13"/>
        <s v="2017-01-26"/>
        <s v="2016-12-31"/>
        <s v="2019-09-19"/>
        <s v="2021-07-03"/>
        <s v="2016-08-30"/>
        <s v="2022-07-10"/>
        <s v="2017-03-29"/>
        <s v="2020-12-21"/>
        <s v="2016-09-25"/>
        <s v="2020-02-11"/>
        <s v="2019-06-07"/>
        <s v="2019-02-18"/>
        <s v="2021-05-07"/>
        <s v="2019-01-17"/>
        <s v="2022-01-02"/>
        <s v="2021-06-07"/>
        <s v="2019-12-14"/>
        <s v="2018-07-25"/>
        <s v="2016-12-12"/>
        <s v="2022-03-03"/>
        <s v="2018-07-18"/>
        <s v="2022-01-12"/>
        <s v="2020-01-25"/>
        <s v="2016-11-26"/>
        <s v="2021-12-27"/>
        <s v="2016-07-06"/>
        <s v="2020-07-26"/>
        <s v="2019-08-05"/>
        <s v="2021-09-28"/>
        <s v="2015-06-01"/>
        <s v="2017-04-03"/>
        <s v="2016-09-18"/>
        <s v="2018-08-06"/>
        <s v="2017-04-17"/>
        <s v="2021-01-25"/>
        <s v="2015-03-31"/>
        <s v="2020-02-25"/>
        <s v="2016-09-12"/>
        <s v="2020-01-04"/>
        <s v="2021-07-07"/>
        <s v="2020-06-14"/>
        <s v="2020-10-22"/>
        <s v="2022-03-30"/>
        <s v="2017-12-09"/>
        <s v="2015-10-31"/>
        <s v="2018-09-03"/>
        <s v="2020-12-16"/>
        <s v="2020-03-06"/>
        <s v="2017-11-03"/>
        <s v="2016-11-10"/>
        <s v="2015-09-04"/>
        <s v="2020-07-13"/>
        <s v="2023-02-28"/>
        <s v="2020-04-03"/>
        <s v="2019-11-19"/>
        <s v="2016-06-10"/>
        <s v="2016-06-03"/>
        <s v="2017-12-02"/>
        <s v="2017-10-02"/>
        <s v="2021-04-18"/>
        <s v="2021-01-01"/>
        <s v="2018-11-04"/>
        <s v="2019-08-10"/>
        <s v="2018-03-01"/>
        <s v="2020-11-06"/>
        <s v="2021-10-19"/>
        <s v="2017-09-12"/>
        <s v="2019-04-14"/>
        <s v="2018-08-30"/>
        <s v="2020-05-02"/>
        <s v="2017-07-28"/>
        <s v="2020-12-08"/>
        <s v="2021-12-12"/>
        <s v="2019-03-21"/>
        <s v="2021-05-27"/>
        <s v="2017-01-27"/>
        <s v="2019-12-06"/>
        <s v="2015-07-20"/>
        <s v="2022-11-11"/>
        <s v="2019-01-05"/>
        <s v="2018-10-23"/>
        <s v="2018-07-15"/>
        <s v="2022-11-03"/>
        <s v="2022-11-28"/>
        <s v="2021-01-28"/>
        <s v="2016-07-03"/>
        <s v="2017-04-13"/>
        <s v="2020-06-20"/>
        <s v="2022-05-31"/>
        <s v="2017-04-14"/>
        <s v="2022-10-30"/>
        <s v="2017-03-27"/>
        <s v="2015-07-19"/>
        <s v="2015-05-12"/>
        <s v="2017-03-06"/>
        <s v="2015-07-04"/>
        <s v="2018-02-28"/>
        <s v="2019-06-19"/>
        <s v="2019-05-27"/>
        <s v="2015-07-06"/>
        <s v="2016-01-08"/>
        <s v="2021-04-15"/>
        <s v="2021-09-24"/>
        <s v="2018-02-12"/>
        <s v="2021-02-14"/>
        <s v="2016-10-12"/>
        <s v="2021-10-30"/>
        <s v="2016-02-15"/>
        <s v="2017-03-13"/>
        <s v="2018-08-19"/>
        <s v="2017-01-29"/>
        <s v="2018-12-05"/>
        <s v="2023-03-20"/>
        <s v="2018-06-16"/>
        <s v="2021-05-13"/>
        <s v="2019-03-14"/>
        <s v="2022-02-23"/>
        <s v="2021-09-19"/>
        <s v="2019-08-01"/>
        <s v="2015-02-12"/>
        <s v="2021-05-19"/>
        <s v="2018-02-24"/>
        <s v="2017-03-07"/>
        <s v="2022-08-30"/>
        <s v="2023-02-02"/>
        <s v="2016-07-19"/>
        <s v="2017-07-11"/>
        <s v="2021-10-07"/>
        <s v="2018-10-27"/>
        <s v="2018-04-30"/>
        <s v="2015-12-01"/>
        <s v="2018-12-28"/>
        <s v="2022-01-01"/>
        <s v="2020-11-07"/>
        <s v="2016-06-15"/>
        <s v="2023-01-21"/>
        <s v="2020-02-23"/>
        <s v="2021-10-31"/>
        <s v="2022-11-09"/>
        <s v="2019-10-21"/>
        <s v="2022-06-27"/>
        <s v="2021-09-17"/>
        <s v="2019-12-07"/>
        <s v="2016-05-18"/>
        <s v="2017-06-30"/>
        <s v="2022-06-18"/>
        <s v="2015-08-19"/>
        <s v="2016-10-31"/>
        <s v="2016-03-25"/>
        <s v="2021-03-30"/>
        <s v="2020-02-27"/>
        <s v="2021-03-21"/>
        <s v="2022-07-14"/>
        <s v="2019-11-01"/>
        <s v="2015-01-15"/>
        <s v="2022-05-19"/>
        <s v="2020-11-27"/>
        <s v="2016-10-16"/>
        <s v="2016-09-06"/>
        <s v="2019-06-04"/>
        <s v="2021-08-03"/>
        <s v="2020-11-28"/>
        <s v="2020-12-23"/>
        <s v="2020-10-16"/>
        <s v="2020-08-17"/>
        <s v="2015-04-06"/>
        <s v="2017-12-06"/>
        <s v="2017-08-02"/>
        <s v="2020-07-05"/>
        <s v="2017-07-02"/>
        <s v="2020-08-04"/>
        <s v="2020-02-17"/>
        <s v="2021-04-14"/>
        <s v="2016-12-03"/>
        <s v="2016-04-02"/>
        <s v="2020-04-24"/>
        <s v="2022-09-13"/>
        <s v="2021-03-22"/>
        <s v="2017-12-07"/>
        <s v="2017-04-24"/>
        <s v="2018-01-01"/>
        <s v="2017-09-01"/>
        <s v="2016-04-23"/>
        <s v="2018-04-13"/>
        <s v="2018-11-24"/>
        <s v="2016-08-02"/>
        <s v="2018-03-30"/>
        <s v="2019-12-15"/>
        <s v="2022-01-24"/>
        <s v="2016-08-27"/>
        <s v="2023-02-20"/>
        <s v="2017-04-08"/>
        <s v="2023-03-01"/>
        <s v="2020-08-21"/>
        <s v="2018-10-02"/>
        <s v="2018-10-29"/>
        <s v="2017-01-03"/>
        <s v="2020-07-27"/>
        <s v="2021-02-19"/>
        <s v="2021-01-04"/>
        <s v="2020-08-14"/>
        <s v="2015-05-28"/>
        <s v="2021-03-29"/>
        <s v="2020-09-10"/>
        <s v="2017-09-27"/>
        <s v="2015-03-09"/>
        <s v="2016-03-13"/>
        <s v="2018-10-08"/>
        <s v="2022-11-29"/>
        <s v="2023-02-27"/>
        <s v="2021-08-28"/>
        <s v="2018-02-25"/>
        <s v="2020-09-27"/>
        <s v="2015-12-02"/>
        <s v="2016-09-22"/>
        <s v="2016-12-07"/>
        <s v="2022-12-31"/>
        <s v="2015-12-28"/>
        <s v="2019-01-03"/>
        <s v="2019-08-25"/>
        <s v="2021-01-03"/>
        <s v="2023-02-08"/>
        <s v="2015-10-29"/>
        <s v="2017-05-11"/>
        <s v="2023-01-25"/>
        <s v="2015-10-17"/>
        <s v="2022-03-22"/>
        <s v="2016-07-14"/>
        <s v="2015-05-06"/>
        <s v="2015-03-24"/>
        <s v="2018-11-28"/>
        <s v="2022-09-28"/>
        <s v="2019-08-04"/>
        <s v="2018-01-09"/>
        <s v="2020-01-07"/>
        <s v="2019-09-15"/>
        <s v="2018-10-24"/>
        <s v="2016-04-07"/>
        <s v="2018-05-23"/>
        <s v="2020-08-09"/>
        <s v="2016-04-27"/>
        <s v="2017-04-02"/>
        <s v="2016-01-10"/>
        <s v="2023-02-13"/>
        <s v="2019-07-31"/>
        <s v="2019-10-23"/>
        <s v="2022-07-17"/>
        <s v="2015-10-21"/>
        <s v="2017-10-08"/>
        <s v="2018-09-01"/>
        <s v="2018-12-03"/>
        <s v="2021-07-21"/>
        <s v="2021-04-13"/>
        <s v="2017-10-28"/>
        <s v="2020-02-12"/>
        <s v="2018-12-06"/>
        <s v="2022-08-06"/>
        <s v="2020-11-05"/>
        <s v="2021-11-17"/>
        <s v="2019-08-02"/>
        <s v="2019-04-01"/>
        <s v="2021-07-24"/>
        <s v="2015-05-27"/>
        <s v="2017-05-04"/>
        <s v="2021-03-05"/>
        <s v="2017-10-23"/>
        <s v="2019-03-20"/>
        <s v="2017-08-23"/>
        <s v="2015-05-23"/>
        <s v="2020-06-03"/>
        <s v="2020-01-31"/>
        <s v="2021-03-23"/>
        <s v="2016-11-23"/>
      </sharedItems>
    </cacheField>
    <cacheField name="Exit_Date" numFmtId="0">
      <sharedItems containsBlank="1" count="148">
        <s v="2017-11-30"/>
        <m/>
        <s v="2016-04-19"/>
        <s v="2019-09-26"/>
        <s v="2017-07-31"/>
        <s v="2020-02-16"/>
        <s v="2018-06-26"/>
        <s v="2019-11-03"/>
        <s v="2022-06-09"/>
        <s v="2019-04-15"/>
        <s v="2020-07-16"/>
        <s v="2023-04-20"/>
        <s v="2019-06-18"/>
        <s v="2023-04-09"/>
        <s v="2017-09-12"/>
        <s v="2026-01-27"/>
        <s v="2022-06-14"/>
        <s v="2021-12-18"/>
        <s v="2021-04-01"/>
        <s v="2024-04-30"/>
        <s v="2025-06-23"/>
        <s v="2022-11-23"/>
        <s v="2022-06-05"/>
        <s v="2020-01-02"/>
        <s v="2023-02-14"/>
        <s v="2019-11-11"/>
        <s v="2018-10-01"/>
        <s v="2023-10-31"/>
        <s v="2026-07-05"/>
        <s v="2022-06-13"/>
        <s v="2017-01-04"/>
        <s v="2019-09-14"/>
        <s v="2025-03-16"/>
        <s v="2019-01-01"/>
        <s v="2020-12-28"/>
        <s v="2023-07-19"/>
        <s v="2019-06-27"/>
        <s v="2019-05-20"/>
        <s v="2023-10-22"/>
        <s v="2025-06-26"/>
        <s v="2021-11-09"/>
        <s v="2016-08-19"/>
        <s v="2020-10-01"/>
        <s v="2021-09-03"/>
        <s v="2024-10-06"/>
        <s v="2016-08-15"/>
        <s v="2018-07-27"/>
        <s v="2022-02-02"/>
        <s v="2024-09-27"/>
        <s v="2020-06-04"/>
        <s v="2017-09-02"/>
        <s v="2015-09-11"/>
        <s v="2022-03-11"/>
        <s v="2017-08-27"/>
        <s v="2023-04-17"/>
        <s v="2017-09-04"/>
        <s v="2019-06-29"/>
        <s v="2019-02-08"/>
        <s v="2021-12-20"/>
        <s v="2025-06-18"/>
        <s v="2019-12-13"/>
        <s v="2020-02-22"/>
        <s v="2024-06-04"/>
        <s v="2018-11-01"/>
        <s v="2018-04-10"/>
        <s v="2025-06-24"/>
        <s v="2023-11-18"/>
        <s v="2022-08-15"/>
        <s v="2025-09-23"/>
        <s v="2025-11-07"/>
        <s v="2024-12-29"/>
        <s v="2025-04-15"/>
        <s v="2022-11-12"/>
        <s v="2021-03-23"/>
        <s v="2020-01-10"/>
        <s v="2019-09-21"/>
        <s v="2024-10-29"/>
        <s v="2024-03-14"/>
        <s v="2016-08-02"/>
        <s v="2025-02-06"/>
        <s v="2017-06-19"/>
        <s v="2019-05-23"/>
        <s v="2024-05-30"/>
        <s v="2023-06-11"/>
        <s v="2023-06-05"/>
        <s v="2017-01-13"/>
        <s v="2018-12-28"/>
        <s v="2023-11-16"/>
        <s v="2018-04-03"/>
        <s v="2019-08-19"/>
        <s v="2020-11-01"/>
        <s v="2021-12-16"/>
        <s v="2017-08-07"/>
        <s v="2020-09-27"/>
        <s v="2018-07-29"/>
        <s v="2019-06-04"/>
        <s v="2025-07-22"/>
        <s v="2022-08-12"/>
        <s v="2020-01-27"/>
        <s v="2023-03-26"/>
        <s v="2022-01-15"/>
        <s v="2024-08-24"/>
        <s v="2023-09-01"/>
        <s v="2022-06-29"/>
        <s v="2018-09-24"/>
        <s v="2020-04-10"/>
        <s v="2023-05-31"/>
        <s v="2021-04-10"/>
        <s v="2024-07-20"/>
        <s v="2016-12-02"/>
        <s v="2018-07-10"/>
        <s v="2027-01-21"/>
        <s v="2019-06-10"/>
        <s v="2019-07-12"/>
        <s v="2022-08-14"/>
        <s v="2026-02-14"/>
        <s v="2018-09-13"/>
        <s v="2019-08-27"/>
        <s v="2017-08-06"/>
        <s v="2017-10-12"/>
        <s v="2019-10-14"/>
        <s v="2020-09-25"/>
        <s v="2019-05-08"/>
        <s v="2021-10-24"/>
        <s v="2020-09-30"/>
        <s v="2017-10-30"/>
        <s v="2022-06-04"/>
        <s v="2024-02-14"/>
        <s v="2020-12-16"/>
        <s v="2020-07-11"/>
        <s v="2019-09-19"/>
        <s v="2024-09-01"/>
        <s v="2025-11-26"/>
        <s v="2017-08-05"/>
        <s v="2023-07-07"/>
        <s v="2018-11-28"/>
        <s v="2019-01-10"/>
        <s v="2023-11-10"/>
        <s v="2022-08-10"/>
        <s v="2020-11-23"/>
        <s v="2025-09-06"/>
        <s v="2022-03-08"/>
        <s v="2020-11-29"/>
        <s v="2017-07-30"/>
        <s v="2018-09-23"/>
        <s v="2018-02-01"/>
        <s v="2020-08-13"/>
        <s v="2017-05-23"/>
      </sharedItems>
    </cacheField>
    <cacheField name="Salary" numFmtId="0">
      <sharedItems containsSemiMixedTypes="0" containsString="0" containsNumber="1" containsInteger="1" minValue="25164" maxValue="119991"/>
    </cacheField>
    <cacheField name="Attrition" numFmtId="0">
      <sharedItems count="2">
        <s v="Yes"/>
        <s v="No"/>
      </sharedItems>
    </cacheField>
    <cacheField name="Performance_Rating" numFmtId="0">
      <sharedItems containsSemiMixedTypes="0" containsString="0" containsNumber="1" containsInteger="1" minValue="1" maxValue="5"/>
    </cacheField>
    <cacheField name="Experience" numFmtId="0">
      <sharedItems containsString="0" containsBlank="1" containsNumber="1" minValue="0.11232876712328767" maxValue="4.087671232876712"/>
    </cacheField>
    <cacheField name="Position" numFmtId="0">
      <sharedItems/>
    </cacheField>
    <cacheField name="Performance level" numFmtId="0">
      <sharedItems/>
    </cacheField>
    <cacheField name="exit with in 2year" numFmtId="0">
      <sharedItems containsBlank="1" count="3">
        <s v="yes"/>
        <m/>
        <s v="no"/>
      </sharedItems>
    </cacheField>
  </cacheFields>
  <extLst>
    <ext xmlns:x14="http://schemas.microsoft.com/office/spreadsheetml/2009/9/main" uri="{725AE2AE-9491-48be-B2B4-4EB974FC3084}">
      <x14:pivotCacheDefinition pivotCacheId="105959158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9.582960185187" createdVersion="8" refreshedVersion="8" minRefreshableVersion="3" recordCount="300" xr:uid="{07565D9A-133C-49F8-8140-5A7D8AA543BE}">
  <cacheSource type="worksheet">
    <worksheetSource ref="A1:Q301" sheet="HR_Data"/>
  </cacheSource>
  <cacheFields count="17">
    <cacheField name="Employee_ID" numFmtId="0">
      <sharedItems/>
    </cacheField>
    <cacheField name="Name" numFmtId="0">
      <sharedItems/>
    </cacheField>
    <cacheField name="Department" numFmtId="0">
      <sharedItems count="5">
        <s v="Marketing"/>
        <s v="Finance"/>
        <s v="HR"/>
        <s v="IT"/>
        <s v="Sales"/>
      </sharedItems>
    </cacheField>
    <cacheField name="Gender" numFmtId="0">
      <sharedItems count="2">
        <s v="Male"/>
        <s v="Female"/>
      </sharedItems>
    </cacheField>
    <cacheField name="Age" numFmtId="0">
      <sharedItems containsSemiMixedTypes="0" containsString="0" containsNumber="1" containsInteger="1" minValue="22" maxValue="50" count="29">
        <n v="29"/>
        <n v="42"/>
        <n v="28"/>
        <n v="23"/>
        <n v="24"/>
        <n v="27"/>
        <n v="35"/>
        <n v="38"/>
        <n v="34"/>
        <n v="32"/>
        <n v="39"/>
        <n v="47"/>
        <n v="31"/>
        <n v="45"/>
        <n v="43"/>
        <n v="44"/>
        <n v="33"/>
        <n v="50"/>
        <n v="48"/>
        <n v="46"/>
        <n v="41"/>
        <n v="49"/>
        <n v="26"/>
        <n v="30"/>
        <n v="36"/>
        <n v="25"/>
        <n v="40"/>
        <n v="22"/>
        <n v="37"/>
      </sharedItems>
      <fieldGroup base="4">
        <rangePr startNum="22" endNum="50" groupInterval="5"/>
        <groupItems count="8">
          <s v="&lt;22"/>
          <s v="22-26"/>
          <s v="27-31"/>
          <s v="32-36"/>
          <s v="37-41"/>
          <s v="42-46"/>
          <s v="47-51"/>
          <s v="&gt;52"/>
        </groupItems>
      </fieldGroup>
    </cacheField>
    <cacheField name="Joining_Date" numFmtId="0">
      <sharedItems/>
    </cacheField>
    <cacheField name="Exit_Date" numFmtId="0">
      <sharedItems containsBlank="1"/>
    </cacheField>
    <cacheField name="Salary" numFmtId="0">
      <sharedItems containsSemiMixedTypes="0" containsString="0" containsNumber="1" containsInteger="1" minValue="25164" maxValue="119991"/>
    </cacheField>
    <cacheField name="Attrition" numFmtId="0">
      <sharedItems count="2">
        <s v="Yes"/>
        <s v="No"/>
      </sharedItems>
    </cacheField>
    <cacheField name="Performance_Rating" numFmtId="0">
      <sharedItems containsSemiMixedTypes="0" containsString="0" containsNumber="1" containsInteger="1" minValue="1" maxValue="5"/>
    </cacheField>
    <cacheField name="Experience" numFmtId="0">
      <sharedItems containsString="0" containsBlank="1" containsNumber="1" minValue="0.11232876712328767" maxValue="4.087671232876712" count="144">
        <n v="1.5287671232876712"/>
        <m/>
        <n v="0.17808219178082191"/>
        <n v="1.2876712328767124"/>
        <n v="0.50958904109589043"/>
        <n v="3.4657534246575343"/>
        <n v="1.2438356164383562"/>
        <n v="3.106849315068493"/>
        <n v="3.3945205479452056"/>
        <n v="0.72328767123287674"/>
        <n v="3.5945205479452054"/>
        <n v="1.1315068493150684"/>
        <n v="0.9178082191780822"/>
        <n v="1.2383561643835617"/>
        <n v="0.79452054794520544"/>
        <n v="4.087671232876712"/>
        <n v="2.8602739726027395"/>
        <n v="3.3698630136986303"/>
        <n v="3.9589041095890409"/>
        <n v="3.2630136986301368"/>
        <n v="3.9643835616438357"/>
        <n v="2.0876712328767124"/>
        <n v="0.18356164383561643"/>
        <n v="2.0657534246575344"/>
        <n v="2.1643835616438358"/>
        <n v="3.0767123287671234"/>
        <n v="3.3013698630136985"/>
        <n v="3.3506849315068492"/>
        <n v="2.5671232876712327"/>
        <n v="0.56986301369863013"/>
        <n v="1.9506849315068493"/>
        <n v="3.9123287671232876"/>
        <n v="0.15890410958904111"/>
        <n v="2.8301369863013699"/>
        <n v="1.747945205479452"/>
        <n v="0.20273972602739726"/>
        <n v="0.72054794520547949"/>
        <n v="2.871232876712329"/>
        <n v="3.5397260273972604"/>
        <n v="0.45479452054794522"/>
        <n v="1.0849315068493151"/>
        <n v="1.9424657534246574"/>
        <n v="3.1397260273972605"/>
        <n v="3.6904109589041094"/>
        <n v="0.11780821917808219"/>
        <n v="1.6219178082191781"/>
        <n v="2.3287671232876712"/>
        <n v="3.1917808219178081"/>
        <n v="0.49315068493150682"/>
        <n v="0.18904109589041096"/>
        <n v="2.7917808219178082"/>
        <n v="2.1452054794520548"/>
        <n v="2.1698630136986301"/>
        <n v="1.5534246575342465"/>
        <n v="2.2958904109589042"/>
        <n v="0.47397260273972602"/>
        <n v="3.043835616438356"/>
        <n v="2.2493150684931509"/>
        <n v="1.4931506849315068"/>
        <n v="0.9452054794520548"/>
        <n v="2.2794520547945205"/>
        <n v="1.6547945205479453"/>
        <n v="1.6109589041095891"/>
        <n v="2.3917808219178083"/>
        <n v="2.1150684931506851"/>
        <n v="0.61917808219178083"/>
        <n v="2.6739726027397261"/>
        <n v="4.021917808219178"/>
        <n v="2.473972602739726"/>
        <n v="2.8027397260273972"/>
        <n v="1.1534246575342466"/>
        <n v="1.2931506849315069"/>
        <n v="3.1945205479452055"/>
        <n v="3.493150684931507"/>
        <n v="3.6109589041095891"/>
        <n v="1.6684931506849314"/>
        <n v="1.547945205479452"/>
        <n v="2.7232876712328768"/>
        <n v="0.67397260273972603"/>
        <n v="2.7095890410958905"/>
        <n v="2.8246575342465752"/>
        <n v="2.4657534246575343"/>
        <n v="2.1424657534246574"/>
        <n v="0.11232876712328767"/>
        <n v="2.7397260273972601"/>
        <n v="2.6547945205479451"/>
        <n v="0.32054794520547947"/>
        <n v="3.3232876712328765"/>
        <n v="2.5561643835616437"/>
        <n v="3.0630136986301371"/>
        <n v="1.0136986301369864"/>
        <n v="0.78630136986301369"/>
        <n v="1.9205479452054794"/>
        <n v="2.1561643835616437"/>
        <n v="2.3945205479452056"/>
        <n v="1.9753424657534246"/>
        <n v="3.0657534246575344"/>
        <n v="2.6630136986301371"/>
        <n v="1.2493150684931507"/>
        <n v="3.6383561643835618"/>
        <n v="2.4273972602739726"/>
        <n v="1.8"/>
        <n v="2.5342465753424657"/>
        <n v="1.5068493150684932"/>
        <n v="0.50136986301369868"/>
        <n v="3.1232876712328768"/>
        <n v="3.8136986301369862"/>
        <n v="1.0027397260273974"/>
        <n v="1.7972602739726027"/>
        <n v="4.0602739726027401"/>
        <n v="3.452054794520548"/>
        <n v="1.6082191780821917"/>
        <n v="3.0191780821917806"/>
        <n v="2.8767123287671232"/>
        <n v="3.1205479452054794"/>
        <n v="2.2547945205479452"/>
        <n v="1.1452054794520548"/>
        <n v="3.0410958904109591"/>
        <n v="1.0438356164383562"/>
        <n v="1.5643835616438355"/>
        <n v="4.0356164383561648"/>
        <n v="3.5178082191780824"/>
        <n v="0.9506849315068493"/>
        <n v="3.2767123287671232"/>
        <n v="3.6931506849315068"/>
        <n v="1.5506849315068494"/>
        <n v="3.3643835616438356"/>
        <n v="1.7917808219178082"/>
        <n v="3.8684931506849316"/>
        <n v="1.1397260273972603"/>
        <n v="0.35890410958904112"/>
        <n v="2.3068493150684932"/>
        <n v="1.3260273972602741"/>
        <n v="1.9671232876712328"/>
        <n v="3.0876712328767124"/>
        <n v="0.30410958904109592"/>
        <n v="1.3287671232876712"/>
        <n v="2.8657534246575342"/>
        <n v="0.23835616438356164"/>
        <n v="1.263013698630137"/>
        <n v="1.106849315068493"/>
        <n v="2.6986301369863015"/>
        <n v="0.19452054794520549"/>
        <n v="0.49589041095890413"/>
      </sharedItems>
      <fieldGroup base="10">
        <rangePr autoStart="0" autoEnd="0" startNum="0" endNum="5"/>
        <groupItems count="7">
          <s v="&lt;0 or (blank)"/>
          <s v="0-1"/>
          <s v="1-2"/>
          <s v="2-3"/>
          <s v="3-4"/>
          <s v="4-5"/>
          <s v="&gt;5"/>
        </groupItems>
      </fieldGroup>
    </cacheField>
    <cacheField name="Position" numFmtId="0">
      <sharedItems/>
    </cacheField>
    <cacheField name="Performance level" numFmtId="0">
      <sharedItems count="3">
        <s v="Low rating"/>
        <s v="Medium rating"/>
        <s v="High rating"/>
      </sharedItems>
    </cacheField>
    <cacheField name="exit with in 2year" numFmtId="0">
      <sharedItems containsBlank="1"/>
    </cacheField>
    <cacheField name="Year" numFmtId="0">
      <sharedItems containsSemiMixedTypes="0" containsString="0" containsNumber="1" containsInteger="1" minValue="2015" maxValue="2023" count="9">
        <n v="2016"/>
        <n v="2018"/>
        <n v="2015"/>
        <n v="2017"/>
        <n v="2019"/>
        <n v="2021"/>
        <n v="2022"/>
        <n v="2020"/>
        <n v="2023"/>
      </sharedItems>
    </cacheField>
    <cacheField name="Attrition rate" numFmtId="0">
      <sharedItems containsString="0" containsBlank="1" containsNumber="1" minValue="50.333333333333336" maxValue="50.333333333333336" count="2">
        <n v="50.333333333333336"/>
        <m/>
      </sharedItems>
    </cacheField>
    <cacheField name="yes" numFmtId="0">
      <sharedItems containsString="0" containsBlank="1" containsNumber="1" containsInteger="1" minValue="151" maxValue="151"/>
    </cacheField>
  </cacheFields>
  <extLst>
    <ext xmlns:x14="http://schemas.microsoft.com/office/spreadsheetml/2009/9/main" uri="{725AE2AE-9491-48be-B2B4-4EB974FC3084}">
      <x14:pivotCacheDefinition pivotCacheId="1112782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001"/>
    <s v="Anjali"/>
    <x v="0"/>
    <x v="0"/>
    <x v="0"/>
    <x v="0"/>
    <s v="2017-11-30"/>
    <n v="113869"/>
    <x v="0"/>
    <n v="1"/>
    <n v="1.5287671232876712"/>
    <s v="Fresher"/>
    <x v="0"/>
  </r>
  <r>
    <s v="E002"/>
    <s v="Priya"/>
    <x v="1"/>
    <x v="1"/>
    <x v="1"/>
    <x v="1"/>
    <m/>
    <n v="31939"/>
    <x v="1"/>
    <n v="2"/>
    <m/>
    <s v="Senior"/>
    <x v="0"/>
  </r>
  <r>
    <s v="E003"/>
    <s v="Priya"/>
    <x v="2"/>
    <x v="1"/>
    <x v="2"/>
    <x v="2"/>
    <m/>
    <n v="85304"/>
    <x v="1"/>
    <n v="4"/>
    <m/>
    <s v="Fresher"/>
    <x v="1"/>
  </r>
  <r>
    <s v="E004"/>
    <s v="Anjali"/>
    <x v="3"/>
    <x v="1"/>
    <x v="3"/>
    <x v="3"/>
    <s v="2016-04-19"/>
    <n v="26432"/>
    <x v="0"/>
    <n v="5"/>
    <n v="0.17808219178082191"/>
    <s v="Fresher"/>
    <x v="2"/>
  </r>
  <r>
    <s v="E005"/>
    <s v="Priya"/>
    <x v="1"/>
    <x v="0"/>
    <x v="4"/>
    <x v="4"/>
    <m/>
    <n v="115816"/>
    <x v="1"/>
    <n v="2"/>
    <m/>
    <s v="Fresher"/>
    <x v="0"/>
  </r>
  <r>
    <s v="E006"/>
    <s v="Neha"/>
    <x v="4"/>
    <x v="1"/>
    <x v="5"/>
    <x v="5"/>
    <m/>
    <n v="73467"/>
    <x v="1"/>
    <n v="3"/>
    <m/>
    <s v="Fresher"/>
    <x v="1"/>
  </r>
  <r>
    <s v="E007"/>
    <s v="Rahul"/>
    <x v="1"/>
    <x v="1"/>
    <x v="6"/>
    <x v="6"/>
    <m/>
    <n v="30425"/>
    <x v="1"/>
    <n v="5"/>
    <m/>
    <s v="Menior"/>
    <x v="2"/>
  </r>
  <r>
    <s v="E008"/>
    <s v="Sneha"/>
    <x v="3"/>
    <x v="0"/>
    <x v="7"/>
    <x v="7"/>
    <s v="2019-09-26"/>
    <n v="63115"/>
    <x v="0"/>
    <n v="3"/>
    <n v="1.2876712328767124"/>
    <s v="Menior"/>
    <x v="1"/>
  </r>
  <r>
    <s v="E009"/>
    <s v="Rohit"/>
    <x v="3"/>
    <x v="0"/>
    <x v="8"/>
    <x v="8"/>
    <s v="2017-07-31"/>
    <n v="39535"/>
    <x v="0"/>
    <n v="3"/>
    <n v="0.50958904109589043"/>
    <s v="Menior"/>
    <x v="1"/>
  </r>
  <r>
    <s v="E010"/>
    <s v="Priya"/>
    <x v="2"/>
    <x v="1"/>
    <x v="1"/>
    <x v="9"/>
    <m/>
    <n v="32003"/>
    <x v="1"/>
    <n v="2"/>
    <m/>
    <s v="Senior"/>
    <x v="0"/>
  </r>
  <r>
    <s v="E011"/>
    <s v="Priya"/>
    <x v="0"/>
    <x v="1"/>
    <x v="9"/>
    <x v="10"/>
    <m/>
    <n v="89966"/>
    <x v="1"/>
    <n v="4"/>
    <m/>
    <s v="Menior"/>
    <x v="1"/>
  </r>
  <r>
    <s v="E012"/>
    <s v="Amit"/>
    <x v="0"/>
    <x v="1"/>
    <x v="5"/>
    <x v="11"/>
    <m/>
    <n v="76221"/>
    <x v="1"/>
    <n v="1"/>
    <m/>
    <s v="Fresher"/>
    <x v="0"/>
  </r>
  <r>
    <s v="E013"/>
    <s v="Rahul"/>
    <x v="2"/>
    <x v="0"/>
    <x v="10"/>
    <x v="12"/>
    <s v="2020-02-16"/>
    <n v="106904"/>
    <x v="0"/>
    <n v="4"/>
    <n v="3.4657534246575343"/>
    <s v="Menior"/>
    <x v="1"/>
  </r>
  <r>
    <s v="E014"/>
    <s v="Arjun"/>
    <x v="4"/>
    <x v="1"/>
    <x v="11"/>
    <x v="13"/>
    <m/>
    <n v="53650"/>
    <x v="1"/>
    <n v="3"/>
    <m/>
    <s v="Senior"/>
    <x v="1"/>
  </r>
  <r>
    <s v="E015"/>
    <s v="Priya"/>
    <x v="1"/>
    <x v="1"/>
    <x v="3"/>
    <x v="14"/>
    <s v="2018-06-26"/>
    <n v="75411"/>
    <x v="0"/>
    <n v="5"/>
    <n v="1.2438356164383562"/>
    <s v="Fresher"/>
    <x v="2"/>
  </r>
  <r>
    <s v="E016"/>
    <s v="Arjun"/>
    <x v="3"/>
    <x v="0"/>
    <x v="8"/>
    <x v="15"/>
    <m/>
    <n v="27620"/>
    <x v="1"/>
    <n v="2"/>
    <m/>
    <s v="Menior"/>
    <x v="0"/>
  </r>
  <r>
    <s v="E017"/>
    <s v="Anjali"/>
    <x v="1"/>
    <x v="0"/>
    <x v="5"/>
    <x v="16"/>
    <s v="2019-11-03"/>
    <n v="85021"/>
    <x v="0"/>
    <n v="5"/>
    <n v="3.106849315068493"/>
    <s v="Fresher"/>
    <x v="2"/>
  </r>
  <r>
    <s v="E018"/>
    <s v="Neha"/>
    <x v="1"/>
    <x v="0"/>
    <x v="4"/>
    <x v="17"/>
    <m/>
    <n v="64693"/>
    <x v="1"/>
    <n v="3"/>
    <m/>
    <s v="Fresher"/>
    <x v="1"/>
  </r>
  <r>
    <s v="E019"/>
    <s v="Rohit"/>
    <x v="4"/>
    <x v="0"/>
    <x v="2"/>
    <x v="18"/>
    <m/>
    <n v="79717"/>
    <x v="1"/>
    <n v="1"/>
    <m/>
    <s v="Fresher"/>
    <x v="0"/>
  </r>
  <r>
    <s v="E020"/>
    <s v="Pooja"/>
    <x v="4"/>
    <x v="1"/>
    <x v="12"/>
    <x v="19"/>
    <m/>
    <n v="71721"/>
    <x v="1"/>
    <n v="1"/>
    <m/>
    <s v="Menior"/>
    <x v="0"/>
  </r>
  <r>
    <s v="E021"/>
    <s v="Rohit"/>
    <x v="1"/>
    <x v="1"/>
    <x v="13"/>
    <x v="20"/>
    <m/>
    <n v="84541"/>
    <x v="1"/>
    <n v="5"/>
    <m/>
    <s v="Senior"/>
    <x v="2"/>
  </r>
  <r>
    <s v="E022"/>
    <s v="Rahul"/>
    <x v="2"/>
    <x v="0"/>
    <x v="13"/>
    <x v="21"/>
    <s v="2022-06-09"/>
    <n v="61842"/>
    <x v="0"/>
    <n v="4"/>
    <n v="3.3945205479452056"/>
    <s v="Senior"/>
    <x v="1"/>
  </r>
  <r>
    <s v="E023"/>
    <s v="Rohit"/>
    <x v="2"/>
    <x v="1"/>
    <x v="8"/>
    <x v="22"/>
    <m/>
    <n v="111621"/>
    <x v="1"/>
    <n v="1"/>
    <m/>
    <s v="Menior"/>
    <x v="0"/>
  </r>
  <r>
    <s v="E024"/>
    <s v="Karan"/>
    <x v="2"/>
    <x v="1"/>
    <x v="9"/>
    <x v="23"/>
    <m/>
    <n v="105303"/>
    <x v="1"/>
    <n v="5"/>
    <m/>
    <s v="Menior"/>
    <x v="2"/>
  </r>
  <r>
    <s v="E025"/>
    <s v="Anjali"/>
    <x v="2"/>
    <x v="1"/>
    <x v="1"/>
    <x v="24"/>
    <m/>
    <n v="26792"/>
    <x v="1"/>
    <n v="4"/>
    <m/>
    <s v="Senior"/>
    <x v="1"/>
  </r>
  <r>
    <s v="E026"/>
    <s v="Sneha"/>
    <x v="1"/>
    <x v="0"/>
    <x v="9"/>
    <x v="25"/>
    <s v="2019-04-15"/>
    <n v="104077"/>
    <x v="0"/>
    <n v="2"/>
    <n v="0.72328767123287674"/>
    <s v="Menior"/>
    <x v="0"/>
  </r>
  <r>
    <s v="E027"/>
    <s v="Neha"/>
    <x v="4"/>
    <x v="0"/>
    <x v="14"/>
    <x v="26"/>
    <s v="2020-07-16"/>
    <n v="114292"/>
    <x v="0"/>
    <n v="5"/>
    <n v="3.5945205479452054"/>
    <s v="Senior"/>
    <x v="2"/>
  </r>
  <r>
    <s v="E028"/>
    <s v="Rahul"/>
    <x v="3"/>
    <x v="1"/>
    <x v="0"/>
    <x v="27"/>
    <s v="2023-04-20"/>
    <n v="40759"/>
    <x v="0"/>
    <n v="3"/>
    <n v="1.1315068493150684"/>
    <s v="Fresher"/>
    <x v="1"/>
  </r>
  <r>
    <s v="E029"/>
    <s v="Neha"/>
    <x v="0"/>
    <x v="1"/>
    <x v="15"/>
    <x v="28"/>
    <s v="2019-06-18"/>
    <n v="31521"/>
    <x v="0"/>
    <n v="3"/>
    <n v="0.9178082191780822"/>
    <s v="Senior"/>
    <x v="1"/>
  </r>
  <r>
    <s v="E030"/>
    <s v="Anjali"/>
    <x v="4"/>
    <x v="1"/>
    <x v="16"/>
    <x v="29"/>
    <s v="2023-04-09"/>
    <n v="107269"/>
    <x v="0"/>
    <n v="5"/>
    <n v="1.2383561643835617"/>
    <s v="Menior"/>
    <x v="2"/>
  </r>
  <r>
    <s v="E031"/>
    <s v="Pooja"/>
    <x v="2"/>
    <x v="0"/>
    <x v="12"/>
    <x v="30"/>
    <m/>
    <n v="61604"/>
    <x v="1"/>
    <n v="1"/>
    <m/>
    <s v="Menior"/>
    <x v="0"/>
  </r>
  <r>
    <s v="E032"/>
    <s v="Pooja"/>
    <x v="3"/>
    <x v="1"/>
    <x v="17"/>
    <x v="31"/>
    <s v="2017-09-12"/>
    <n v="37265"/>
    <x v="0"/>
    <n v="2"/>
    <n v="0.79452054794520544"/>
    <s v="Senior"/>
    <x v="0"/>
  </r>
  <r>
    <s v="E033"/>
    <s v="Priya"/>
    <x v="2"/>
    <x v="1"/>
    <x v="18"/>
    <x v="32"/>
    <s v="2026-01-27"/>
    <n v="49646"/>
    <x v="0"/>
    <n v="2"/>
    <n v="4.087671232876712"/>
    <s v="Senior"/>
    <x v="0"/>
  </r>
  <r>
    <s v="E034"/>
    <s v="Pooja"/>
    <x v="0"/>
    <x v="0"/>
    <x v="13"/>
    <x v="33"/>
    <m/>
    <n v="119547"/>
    <x v="1"/>
    <n v="3"/>
    <m/>
    <s v="Senior"/>
    <x v="1"/>
  </r>
  <r>
    <s v="E035"/>
    <s v="Pooja"/>
    <x v="4"/>
    <x v="1"/>
    <x v="3"/>
    <x v="34"/>
    <m/>
    <n v="105756"/>
    <x v="1"/>
    <n v="5"/>
    <m/>
    <s v="Fresher"/>
    <x v="2"/>
  </r>
  <r>
    <s v="E036"/>
    <s v="Pooja"/>
    <x v="3"/>
    <x v="1"/>
    <x v="5"/>
    <x v="35"/>
    <s v="2022-06-14"/>
    <n v="112463"/>
    <x v="0"/>
    <n v="1"/>
    <n v="2.8602739726027395"/>
    <s v="Fresher"/>
    <x v="0"/>
  </r>
  <r>
    <s v="E037"/>
    <s v="Arjun"/>
    <x v="3"/>
    <x v="0"/>
    <x v="16"/>
    <x v="36"/>
    <m/>
    <n v="84623"/>
    <x v="1"/>
    <n v="5"/>
    <m/>
    <s v="Menior"/>
    <x v="2"/>
  </r>
  <r>
    <s v="E038"/>
    <s v="Neha"/>
    <x v="3"/>
    <x v="1"/>
    <x v="15"/>
    <x v="37"/>
    <m/>
    <n v="30180"/>
    <x v="1"/>
    <n v="2"/>
    <m/>
    <s v="Senior"/>
    <x v="0"/>
  </r>
  <r>
    <s v="E039"/>
    <s v="Rohit"/>
    <x v="0"/>
    <x v="1"/>
    <x v="19"/>
    <x v="38"/>
    <m/>
    <n v="119216"/>
    <x v="1"/>
    <n v="2"/>
    <m/>
    <s v="Senior"/>
    <x v="0"/>
  </r>
  <r>
    <s v="E040"/>
    <s v="Rohit"/>
    <x v="2"/>
    <x v="1"/>
    <x v="11"/>
    <x v="39"/>
    <m/>
    <n v="30812"/>
    <x v="1"/>
    <n v="2"/>
    <m/>
    <s v="Senior"/>
    <x v="0"/>
  </r>
  <r>
    <s v="E041"/>
    <s v="Sneha"/>
    <x v="2"/>
    <x v="1"/>
    <x v="16"/>
    <x v="40"/>
    <s v="2021-12-18"/>
    <n v="26482"/>
    <x v="0"/>
    <n v="1"/>
    <n v="3.3698630136986303"/>
    <s v="Menior"/>
    <x v="0"/>
  </r>
  <r>
    <s v="E042"/>
    <s v="Pooja"/>
    <x v="0"/>
    <x v="0"/>
    <x v="7"/>
    <x v="41"/>
    <s v="2021-04-01"/>
    <n v="49555"/>
    <x v="0"/>
    <n v="4"/>
    <n v="3.9589041095890409"/>
    <s v="Menior"/>
    <x v="1"/>
  </r>
  <r>
    <s v="E043"/>
    <s v="Anjali"/>
    <x v="3"/>
    <x v="1"/>
    <x v="6"/>
    <x v="42"/>
    <s v="2024-04-30"/>
    <n v="94252"/>
    <x v="0"/>
    <n v="4"/>
    <n v="3.2630136986301368"/>
    <s v="Menior"/>
    <x v="1"/>
  </r>
  <r>
    <s v="E044"/>
    <s v="Rahul"/>
    <x v="0"/>
    <x v="1"/>
    <x v="14"/>
    <x v="43"/>
    <m/>
    <n v="106408"/>
    <x v="1"/>
    <n v="3"/>
    <m/>
    <s v="Senior"/>
    <x v="1"/>
  </r>
  <r>
    <s v="E045"/>
    <s v="Priya"/>
    <x v="0"/>
    <x v="1"/>
    <x v="0"/>
    <x v="44"/>
    <m/>
    <n v="81636"/>
    <x v="1"/>
    <n v="4"/>
    <m/>
    <s v="Fresher"/>
    <x v="1"/>
  </r>
  <r>
    <s v="E046"/>
    <s v="Amit"/>
    <x v="1"/>
    <x v="0"/>
    <x v="19"/>
    <x v="45"/>
    <m/>
    <n v="105125"/>
    <x v="1"/>
    <n v="5"/>
    <m/>
    <s v="Senior"/>
    <x v="2"/>
  </r>
  <r>
    <s v="E047"/>
    <s v="Arjun"/>
    <x v="3"/>
    <x v="1"/>
    <x v="20"/>
    <x v="46"/>
    <m/>
    <n v="107233"/>
    <x v="1"/>
    <n v="2"/>
    <m/>
    <s v="Senior"/>
    <x v="0"/>
  </r>
  <r>
    <s v="E048"/>
    <s v="Neha"/>
    <x v="1"/>
    <x v="1"/>
    <x v="7"/>
    <x v="47"/>
    <s v="2025-06-23"/>
    <n v="65116"/>
    <x v="0"/>
    <n v="2"/>
    <n v="3.9643835616438357"/>
    <s v="Menior"/>
    <x v="0"/>
  </r>
  <r>
    <s v="E049"/>
    <s v="Sneha"/>
    <x v="4"/>
    <x v="0"/>
    <x v="12"/>
    <x v="48"/>
    <m/>
    <n v="61891"/>
    <x v="1"/>
    <n v="4"/>
    <m/>
    <s v="Menior"/>
    <x v="1"/>
  </r>
  <r>
    <s v="E050"/>
    <s v="Pooja"/>
    <x v="4"/>
    <x v="0"/>
    <x v="21"/>
    <x v="49"/>
    <s v="2022-11-23"/>
    <n v="96032"/>
    <x v="0"/>
    <n v="4"/>
    <n v="2.0876712328767124"/>
    <s v="Senior"/>
    <x v="1"/>
  </r>
  <r>
    <s v="E051"/>
    <s v="Amit"/>
    <x v="3"/>
    <x v="1"/>
    <x v="17"/>
    <x v="50"/>
    <s v="2022-06-05"/>
    <n v="83689"/>
    <x v="0"/>
    <n v="2"/>
    <n v="0.18356164383561643"/>
    <s v="Senior"/>
    <x v="0"/>
  </r>
  <r>
    <s v="E052"/>
    <s v="Rahul"/>
    <x v="0"/>
    <x v="1"/>
    <x v="11"/>
    <x v="51"/>
    <s v="2020-01-02"/>
    <n v="118478"/>
    <x v="0"/>
    <n v="3"/>
    <n v="2.0657534246575344"/>
    <s v="Senior"/>
    <x v="1"/>
  </r>
  <r>
    <s v="E053"/>
    <s v="Rohit"/>
    <x v="1"/>
    <x v="0"/>
    <x v="11"/>
    <x v="52"/>
    <m/>
    <n v="55648"/>
    <x v="1"/>
    <n v="1"/>
    <m/>
    <s v="Senior"/>
    <x v="0"/>
  </r>
  <r>
    <s v="E054"/>
    <s v="Neha"/>
    <x v="0"/>
    <x v="1"/>
    <x v="8"/>
    <x v="53"/>
    <m/>
    <n v="77673"/>
    <x v="1"/>
    <n v="5"/>
    <m/>
    <s v="Menior"/>
    <x v="2"/>
  </r>
  <r>
    <s v="E055"/>
    <s v="Neha"/>
    <x v="4"/>
    <x v="1"/>
    <x v="12"/>
    <x v="54"/>
    <s v="2023-02-14"/>
    <n v="25816"/>
    <x v="0"/>
    <n v="2"/>
    <n v="2.1643835616438358"/>
    <s v="Menior"/>
    <x v="0"/>
  </r>
  <r>
    <s v="E056"/>
    <s v="Amit"/>
    <x v="0"/>
    <x v="0"/>
    <x v="7"/>
    <x v="55"/>
    <m/>
    <n v="93674"/>
    <x v="1"/>
    <n v="5"/>
    <m/>
    <s v="Menior"/>
    <x v="2"/>
  </r>
  <r>
    <s v="E057"/>
    <s v="Rohit"/>
    <x v="1"/>
    <x v="0"/>
    <x v="5"/>
    <x v="56"/>
    <s v="2019-11-11"/>
    <n v="67247"/>
    <x v="0"/>
    <n v="5"/>
    <m/>
    <s v="Fresher"/>
    <x v="2"/>
  </r>
  <r>
    <s v="E058"/>
    <s v="Anjali"/>
    <x v="4"/>
    <x v="1"/>
    <x v="14"/>
    <x v="57"/>
    <m/>
    <n v="42624"/>
    <x v="1"/>
    <n v="4"/>
    <m/>
    <s v="Senior"/>
    <x v="1"/>
  </r>
  <r>
    <s v="E059"/>
    <s v="Amit"/>
    <x v="3"/>
    <x v="0"/>
    <x v="11"/>
    <x v="58"/>
    <s v="2018-10-01"/>
    <n v="25208"/>
    <x v="0"/>
    <n v="2"/>
    <n v="3.0767123287671234"/>
    <s v="Senior"/>
    <x v="0"/>
  </r>
  <r>
    <s v="E060"/>
    <s v="Arjun"/>
    <x v="2"/>
    <x v="1"/>
    <x v="14"/>
    <x v="22"/>
    <m/>
    <n v="94440"/>
    <x v="1"/>
    <n v="4"/>
    <m/>
    <s v="Senior"/>
    <x v="1"/>
  </r>
  <r>
    <s v="E061"/>
    <s v="Arjun"/>
    <x v="4"/>
    <x v="0"/>
    <x v="9"/>
    <x v="59"/>
    <s v="2023-10-31"/>
    <n v="39226"/>
    <x v="0"/>
    <n v="4"/>
    <n v="3.3013698630136985"/>
    <s v="Menior"/>
    <x v="1"/>
  </r>
  <r>
    <s v="E062"/>
    <s v="Sneha"/>
    <x v="2"/>
    <x v="1"/>
    <x v="6"/>
    <x v="60"/>
    <s v="2026-07-05"/>
    <n v="102208"/>
    <x v="0"/>
    <n v="5"/>
    <n v="3.3506849315068492"/>
    <s v="Menior"/>
    <x v="2"/>
  </r>
  <r>
    <s v="E063"/>
    <s v="Amit"/>
    <x v="4"/>
    <x v="1"/>
    <x v="7"/>
    <x v="61"/>
    <m/>
    <n v="92067"/>
    <x v="1"/>
    <n v="2"/>
    <m/>
    <s v="Menior"/>
    <x v="0"/>
  </r>
  <r>
    <s v="E064"/>
    <s v="Neha"/>
    <x v="2"/>
    <x v="0"/>
    <x v="2"/>
    <x v="62"/>
    <s v="2022-06-13"/>
    <n v="116324"/>
    <x v="0"/>
    <n v="4"/>
    <n v="2.5671232876712327"/>
    <s v="Fresher"/>
    <x v="1"/>
  </r>
  <r>
    <s v="E065"/>
    <s v="Amit"/>
    <x v="4"/>
    <x v="0"/>
    <x v="17"/>
    <x v="63"/>
    <s v="2017-01-04"/>
    <n v="25164"/>
    <x v="0"/>
    <n v="5"/>
    <n v="0.56986301369863013"/>
    <s v="Senior"/>
    <x v="2"/>
  </r>
  <r>
    <s v="E066"/>
    <s v="Karan"/>
    <x v="3"/>
    <x v="1"/>
    <x v="22"/>
    <x v="64"/>
    <m/>
    <n v="111416"/>
    <x v="1"/>
    <n v="1"/>
    <m/>
    <s v="Fresher"/>
    <x v="0"/>
  </r>
  <r>
    <s v="E067"/>
    <s v="Karan"/>
    <x v="0"/>
    <x v="1"/>
    <x v="23"/>
    <x v="65"/>
    <m/>
    <n v="37122"/>
    <x v="1"/>
    <n v="3"/>
    <m/>
    <s v="Menior"/>
    <x v="1"/>
  </r>
  <r>
    <s v="E068"/>
    <s v="Rohit"/>
    <x v="1"/>
    <x v="1"/>
    <x v="1"/>
    <x v="66"/>
    <s v="2019-09-14"/>
    <n v="37669"/>
    <x v="0"/>
    <n v="3"/>
    <n v="1.9506849315068493"/>
    <s v="Senior"/>
    <x v="1"/>
  </r>
  <r>
    <s v="E069"/>
    <s v="Sneha"/>
    <x v="2"/>
    <x v="1"/>
    <x v="24"/>
    <x v="67"/>
    <s v="2025-03-16"/>
    <n v="103942"/>
    <x v="0"/>
    <n v="1"/>
    <n v="3.9123287671232876"/>
    <s v="Menior"/>
    <x v="0"/>
  </r>
  <r>
    <s v="E070"/>
    <s v="Priya"/>
    <x v="2"/>
    <x v="0"/>
    <x v="25"/>
    <x v="68"/>
    <m/>
    <n v="119634"/>
    <x v="1"/>
    <n v="3"/>
    <m/>
    <s v="Fresher"/>
    <x v="1"/>
  </r>
  <r>
    <s v="E071"/>
    <s v="Rohit"/>
    <x v="0"/>
    <x v="1"/>
    <x v="24"/>
    <x v="69"/>
    <s v="2019-01-01"/>
    <n v="73611"/>
    <x v="0"/>
    <n v="2"/>
    <n v="0.15890410958904111"/>
    <s v="Menior"/>
    <x v="0"/>
  </r>
  <r>
    <s v="E072"/>
    <s v="Arjun"/>
    <x v="3"/>
    <x v="1"/>
    <x v="0"/>
    <x v="70"/>
    <m/>
    <n v="59225"/>
    <x v="1"/>
    <n v="2"/>
    <m/>
    <s v="Fresher"/>
    <x v="0"/>
  </r>
  <r>
    <s v="E073"/>
    <s v="Neha"/>
    <x v="2"/>
    <x v="1"/>
    <x v="16"/>
    <x v="71"/>
    <s v="2020-12-28"/>
    <n v="114308"/>
    <x v="0"/>
    <n v="5"/>
    <n v="2.8301369863013699"/>
    <s v="Menior"/>
    <x v="2"/>
  </r>
  <r>
    <s v="E074"/>
    <s v="Arjun"/>
    <x v="3"/>
    <x v="0"/>
    <x v="23"/>
    <x v="72"/>
    <m/>
    <n v="102550"/>
    <x v="1"/>
    <n v="1"/>
    <m/>
    <s v="Menior"/>
    <x v="0"/>
  </r>
  <r>
    <s v="E075"/>
    <s v="Pooja"/>
    <x v="1"/>
    <x v="1"/>
    <x v="10"/>
    <x v="73"/>
    <s v="2023-07-19"/>
    <n v="32189"/>
    <x v="0"/>
    <n v="1"/>
    <n v="1.747945205479452"/>
    <s v="Menior"/>
    <x v="0"/>
  </r>
  <r>
    <s v="E076"/>
    <s v="Rahul"/>
    <x v="4"/>
    <x v="0"/>
    <x v="4"/>
    <x v="74"/>
    <m/>
    <n v="36917"/>
    <x v="1"/>
    <n v="1"/>
    <m/>
    <s v="Fresher"/>
    <x v="0"/>
  </r>
  <r>
    <s v="E077"/>
    <s v="Sneha"/>
    <x v="0"/>
    <x v="0"/>
    <x v="0"/>
    <x v="75"/>
    <s v="2019-06-27"/>
    <n v="77589"/>
    <x v="0"/>
    <n v="5"/>
    <n v="0.20273972602739726"/>
    <s v="Fresher"/>
    <x v="2"/>
  </r>
  <r>
    <s v="E078"/>
    <s v="Rohit"/>
    <x v="3"/>
    <x v="1"/>
    <x v="19"/>
    <x v="76"/>
    <s v="2019-05-20"/>
    <n v="61443"/>
    <x v="0"/>
    <n v="5"/>
    <n v="0.72054794520547949"/>
    <s v="Senior"/>
    <x v="2"/>
  </r>
  <r>
    <s v="E079"/>
    <s v="Rohit"/>
    <x v="2"/>
    <x v="1"/>
    <x v="18"/>
    <x v="77"/>
    <m/>
    <n v="60785"/>
    <x v="1"/>
    <n v="3"/>
    <m/>
    <s v="Senior"/>
    <x v="1"/>
  </r>
  <r>
    <s v="E080"/>
    <s v="Rohit"/>
    <x v="1"/>
    <x v="1"/>
    <x v="26"/>
    <x v="78"/>
    <m/>
    <n v="45302"/>
    <x v="1"/>
    <n v="3"/>
    <m/>
    <s v="Senior"/>
    <x v="1"/>
  </r>
  <r>
    <s v="E081"/>
    <s v="Amit"/>
    <x v="3"/>
    <x v="1"/>
    <x v="6"/>
    <x v="79"/>
    <s v="2023-10-22"/>
    <n v="80015"/>
    <x v="0"/>
    <n v="4"/>
    <n v="2.871232876712329"/>
    <s v="Menior"/>
    <x v="1"/>
  </r>
  <r>
    <s v="E082"/>
    <s v="Priya"/>
    <x v="4"/>
    <x v="0"/>
    <x v="22"/>
    <x v="80"/>
    <s v="2025-06-26"/>
    <n v="75255"/>
    <x v="0"/>
    <n v="3"/>
    <n v="3.5397260273972604"/>
    <s v="Fresher"/>
    <x v="1"/>
  </r>
  <r>
    <s v="E083"/>
    <s v="Priya"/>
    <x v="0"/>
    <x v="0"/>
    <x v="25"/>
    <x v="81"/>
    <m/>
    <n v="59206"/>
    <x v="1"/>
    <n v="5"/>
    <m/>
    <s v="Fresher"/>
    <x v="2"/>
  </r>
  <r>
    <s v="E084"/>
    <s v="Anjali"/>
    <x v="3"/>
    <x v="1"/>
    <x v="7"/>
    <x v="82"/>
    <s v="2021-11-09"/>
    <n v="107061"/>
    <x v="0"/>
    <n v="3"/>
    <n v="0.45479452054794522"/>
    <s v="Menior"/>
    <x v="1"/>
  </r>
  <r>
    <s v="E085"/>
    <s v="Rohit"/>
    <x v="0"/>
    <x v="1"/>
    <x v="19"/>
    <x v="83"/>
    <m/>
    <n v="55886"/>
    <x v="1"/>
    <n v="4"/>
    <m/>
    <s v="Senior"/>
    <x v="1"/>
  </r>
  <r>
    <s v="E086"/>
    <s v="Rahul"/>
    <x v="0"/>
    <x v="1"/>
    <x v="3"/>
    <x v="84"/>
    <m/>
    <n v="110120"/>
    <x v="1"/>
    <n v="1"/>
    <m/>
    <s v="Fresher"/>
    <x v="0"/>
  </r>
  <r>
    <s v="E087"/>
    <s v="Rahul"/>
    <x v="4"/>
    <x v="1"/>
    <x v="25"/>
    <x v="85"/>
    <s v="2016-08-19"/>
    <n v="96309"/>
    <x v="0"/>
    <n v="2"/>
    <n v="1.0849315068493151"/>
    <s v="Fresher"/>
    <x v="0"/>
  </r>
  <r>
    <s v="E088"/>
    <s v="Amit"/>
    <x v="4"/>
    <x v="1"/>
    <x v="12"/>
    <x v="86"/>
    <m/>
    <n v="49386"/>
    <x v="1"/>
    <n v="1"/>
    <m/>
    <s v="Menior"/>
    <x v="0"/>
  </r>
  <r>
    <s v="E089"/>
    <s v="Priya"/>
    <x v="4"/>
    <x v="1"/>
    <x v="0"/>
    <x v="87"/>
    <m/>
    <n v="106360"/>
    <x v="1"/>
    <n v="1"/>
    <m/>
    <s v="Fresher"/>
    <x v="0"/>
  </r>
  <r>
    <s v="E090"/>
    <s v="Neha"/>
    <x v="1"/>
    <x v="1"/>
    <x v="21"/>
    <x v="88"/>
    <s v="2020-10-01"/>
    <n v="66746"/>
    <x v="0"/>
    <n v="2"/>
    <n v="1.9424657534246574"/>
    <s v="Senior"/>
    <x v="0"/>
  </r>
  <r>
    <s v="E091"/>
    <s v="Rohit"/>
    <x v="1"/>
    <x v="1"/>
    <x v="23"/>
    <x v="89"/>
    <s v="2021-09-03"/>
    <n v="25329"/>
    <x v="0"/>
    <n v="1"/>
    <n v="3.1397260273972605"/>
    <s v="Menior"/>
    <x v="0"/>
  </r>
  <r>
    <s v="E092"/>
    <s v="Karan"/>
    <x v="1"/>
    <x v="0"/>
    <x v="5"/>
    <x v="90"/>
    <m/>
    <n v="90975"/>
    <x v="1"/>
    <n v="3"/>
    <m/>
    <s v="Fresher"/>
    <x v="1"/>
  </r>
  <r>
    <s v="E093"/>
    <s v="Arjun"/>
    <x v="0"/>
    <x v="0"/>
    <x v="11"/>
    <x v="91"/>
    <m/>
    <n v="109016"/>
    <x v="1"/>
    <n v="1"/>
    <m/>
    <s v="Senior"/>
    <x v="0"/>
  </r>
  <r>
    <s v="E094"/>
    <s v="Rohit"/>
    <x v="4"/>
    <x v="0"/>
    <x v="2"/>
    <x v="92"/>
    <s v="2024-10-06"/>
    <n v="75189"/>
    <x v="0"/>
    <n v="3"/>
    <n v="3.6904109589041094"/>
    <s v="Fresher"/>
    <x v="1"/>
  </r>
  <r>
    <s v="E095"/>
    <s v="Amit"/>
    <x v="3"/>
    <x v="0"/>
    <x v="2"/>
    <x v="93"/>
    <s v="2016-08-15"/>
    <n v="97771"/>
    <x v="0"/>
    <n v="1"/>
    <n v="0.11780821917808219"/>
    <s v="Fresher"/>
    <x v="0"/>
  </r>
  <r>
    <s v="E096"/>
    <s v="Sneha"/>
    <x v="1"/>
    <x v="1"/>
    <x v="6"/>
    <x v="94"/>
    <s v="2018-07-27"/>
    <n v="34368"/>
    <x v="0"/>
    <n v="5"/>
    <n v="1.2876712328767124"/>
    <s v="Menior"/>
    <x v="2"/>
  </r>
  <r>
    <s v="E097"/>
    <s v="Amit"/>
    <x v="2"/>
    <x v="1"/>
    <x v="0"/>
    <x v="95"/>
    <s v="2022-02-02"/>
    <n v="45093"/>
    <x v="0"/>
    <n v="3"/>
    <n v="1.6219178082191781"/>
    <s v="Fresher"/>
    <x v="1"/>
  </r>
  <r>
    <s v="E098"/>
    <s v="Rahul"/>
    <x v="1"/>
    <x v="1"/>
    <x v="9"/>
    <x v="96"/>
    <s v="2024-09-27"/>
    <n v="84435"/>
    <x v="0"/>
    <n v="2"/>
    <n v="2.3287671232876712"/>
    <s v="Menior"/>
    <x v="0"/>
  </r>
  <r>
    <s v="E099"/>
    <s v="Pooja"/>
    <x v="2"/>
    <x v="0"/>
    <x v="4"/>
    <x v="97"/>
    <m/>
    <n v="26663"/>
    <x v="1"/>
    <n v="3"/>
    <m/>
    <s v="Fresher"/>
    <x v="1"/>
  </r>
  <r>
    <s v="E100"/>
    <s v="Rohit"/>
    <x v="2"/>
    <x v="1"/>
    <x v="23"/>
    <x v="98"/>
    <m/>
    <n v="109325"/>
    <x v="1"/>
    <n v="3"/>
    <m/>
    <s v="Menior"/>
    <x v="1"/>
  </r>
  <r>
    <s v="E101"/>
    <s v="Priya"/>
    <x v="3"/>
    <x v="0"/>
    <x v="26"/>
    <x v="99"/>
    <s v="2020-06-04"/>
    <n v="98034"/>
    <x v="0"/>
    <n v="3"/>
    <n v="3.1917808219178081"/>
    <s v="Senior"/>
    <x v="1"/>
  </r>
  <r>
    <s v="E102"/>
    <s v="Neha"/>
    <x v="3"/>
    <x v="1"/>
    <x v="0"/>
    <x v="100"/>
    <m/>
    <n v="100059"/>
    <x v="1"/>
    <n v="2"/>
    <m/>
    <s v="Fresher"/>
    <x v="0"/>
  </r>
  <r>
    <s v="E103"/>
    <s v="Priya"/>
    <x v="2"/>
    <x v="1"/>
    <x v="21"/>
    <x v="101"/>
    <m/>
    <n v="40376"/>
    <x v="1"/>
    <n v="5"/>
    <m/>
    <s v="Senior"/>
    <x v="2"/>
  </r>
  <r>
    <s v="E104"/>
    <s v="Pooja"/>
    <x v="1"/>
    <x v="0"/>
    <x v="19"/>
    <x v="102"/>
    <s v="2017-09-02"/>
    <n v="70323"/>
    <x v="0"/>
    <n v="5"/>
    <n v="0.49315068493150682"/>
    <s v="Senior"/>
    <x v="2"/>
  </r>
  <r>
    <s v="E105"/>
    <s v="Rohit"/>
    <x v="3"/>
    <x v="0"/>
    <x v="14"/>
    <x v="103"/>
    <s v="2015-09-11"/>
    <n v="104735"/>
    <x v="0"/>
    <n v="1"/>
    <n v="0.18904109589041096"/>
    <s v="Senior"/>
    <x v="0"/>
  </r>
  <r>
    <s v="E106"/>
    <s v="Neha"/>
    <x v="2"/>
    <x v="0"/>
    <x v="19"/>
    <x v="104"/>
    <m/>
    <n v="62368"/>
    <x v="1"/>
    <n v="1"/>
    <m/>
    <s v="Senior"/>
    <x v="0"/>
  </r>
  <r>
    <s v="E107"/>
    <s v="Rohit"/>
    <x v="4"/>
    <x v="1"/>
    <x v="27"/>
    <x v="105"/>
    <m/>
    <n v="58755"/>
    <x v="1"/>
    <n v="3"/>
    <m/>
    <s v="Fresher"/>
    <x v="1"/>
  </r>
  <r>
    <s v="E108"/>
    <s v="Anjali"/>
    <x v="0"/>
    <x v="0"/>
    <x v="16"/>
    <x v="39"/>
    <m/>
    <n v="116105"/>
    <x v="1"/>
    <n v="3"/>
    <m/>
    <s v="Menior"/>
    <x v="1"/>
  </r>
  <r>
    <s v="E109"/>
    <s v="Arjun"/>
    <x v="0"/>
    <x v="1"/>
    <x v="2"/>
    <x v="106"/>
    <s v="2022-03-11"/>
    <n v="79813"/>
    <x v="0"/>
    <n v="2"/>
    <n v="2.7917808219178082"/>
    <s v="Fresher"/>
    <x v="0"/>
  </r>
  <r>
    <s v="E110"/>
    <s v="Rohit"/>
    <x v="0"/>
    <x v="0"/>
    <x v="1"/>
    <x v="107"/>
    <s v="2017-08-27"/>
    <n v="81689"/>
    <x v="0"/>
    <n v="2"/>
    <n v="2.1452054794520548"/>
    <s v="Senior"/>
    <x v="0"/>
  </r>
  <r>
    <s v="E111"/>
    <s v="Anjali"/>
    <x v="1"/>
    <x v="0"/>
    <x v="10"/>
    <x v="108"/>
    <m/>
    <n v="55203"/>
    <x v="1"/>
    <n v="5"/>
    <m/>
    <s v="Menior"/>
    <x v="2"/>
  </r>
  <r>
    <s v="E112"/>
    <s v="Neha"/>
    <x v="0"/>
    <x v="1"/>
    <x v="18"/>
    <x v="109"/>
    <m/>
    <n v="54684"/>
    <x v="1"/>
    <n v="2"/>
    <m/>
    <s v="Senior"/>
    <x v="0"/>
  </r>
  <r>
    <s v="E113"/>
    <s v="Anjali"/>
    <x v="3"/>
    <x v="0"/>
    <x v="1"/>
    <x v="110"/>
    <m/>
    <n v="82753"/>
    <x v="1"/>
    <n v="1"/>
    <m/>
    <s v="Senior"/>
    <x v="0"/>
  </r>
  <r>
    <s v="E114"/>
    <s v="Rohit"/>
    <x v="3"/>
    <x v="1"/>
    <x v="25"/>
    <x v="111"/>
    <m/>
    <n v="94703"/>
    <x v="1"/>
    <n v="4"/>
    <m/>
    <s v="Fresher"/>
    <x v="1"/>
  </r>
  <r>
    <s v="E115"/>
    <s v="Anjali"/>
    <x v="1"/>
    <x v="0"/>
    <x v="3"/>
    <x v="112"/>
    <s v="2023-04-17"/>
    <n v="75513"/>
    <x v="0"/>
    <n v="2"/>
    <n v="2.1698630136986301"/>
    <s v="Fresher"/>
    <x v="0"/>
  </r>
  <r>
    <s v="E116"/>
    <s v="Amit"/>
    <x v="0"/>
    <x v="0"/>
    <x v="12"/>
    <x v="113"/>
    <m/>
    <n v="90928"/>
    <x v="1"/>
    <n v="2"/>
    <m/>
    <s v="Menior"/>
    <x v="0"/>
  </r>
  <r>
    <s v="E117"/>
    <s v="Priya"/>
    <x v="4"/>
    <x v="0"/>
    <x v="28"/>
    <x v="114"/>
    <m/>
    <n v="104554"/>
    <x v="1"/>
    <n v="1"/>
    <m/>
    <s v="Menior"/>
    <x v="0"/>
  </r>
  <r>
    <s v="E118"/>
    <s v="Sneha"/>
    <x v="2"/>
    <x v="0"/>
    <x v="26"/>
    <x v="115"/>
    <s v="2017-09-04"/>
    <n v="27003"/>
    <x v="0"/>
    <n v="3"/>
    <n v="1.5534246575342465"/>
    <s v="Senior"/>
    <x v="1"/>
  </r>
  <r>
    <s v="E119"/>
    <s v="Karan"/>
    <x v="0"/>
    <x v="1"/>
    <x v="15"/>
    <x v="116"/>
    <s v="2019-06-29"/>
    <n v="42361"/>
    <x v="0"/>
    <n v="1"/>
    <n v="2.2958904109589042"/>
    <s v="Senior"/>
    <x v="0"/>
  </r>
  <r>
    <s v="E120"/>
    <s v="Neha"/>
    <x v="4"/>
    <x v="1"/>
    <x v="14"/>
    <x v="117"/>
    <s v="2019-02-08"/>
    <n v="101559"/>
    <x v="0"/>
    <n v="2"/>
    <n v="0.47397260273972602"/>
    <s v="Senior"/>
    <x v="0"/>
  </r>
  <r>
    <s v="E121"/>
    <s v="Priya"/>
    <x v="3"/>
    <x v="0"/>
    <x v="8"/>
    <x v="30"/>
    <m/>
    <n v="92786"/>
    <x v="1"/>
    <n v="5"/>
    <m/>
    <s v="Menior"/>
    <x v="2"/>
  </r>
  <r>
    <s v="E122"/>
    <s v="Pooja"/>
    <x v="0"/>
    <x v="0"/>
    <x v="23"/>
    <x v="118"/>
    <m/>
    <n v="92883"/>
    <x v="1"/>
    <n v="2"/>
    <m/>
    <s v="Menior"/>
    <x v="0"/>
  </r>
  <r>
    <s v="E123"/>
    <s v="Priya"/>
    <x v="2"/>
    <x v="1"/>
    <x v="15"/>
    <x v="119"/>
    <s v="2021-12-20"/>
    <n v="75185"/>
    <x v="0"/>
    <n v="3"/>
    <n v="3.043835616438356"/>
    <s v="Senior"/>
    <x v="1"/>
  </r>
  <r>
    <s v="E124"/>
    <s v="Sneha"/>
    <x v="3"/>
    <x v="1"/>
    <x v="7"/>
    <x v="120"/>
    <s v="2025-06-18"/>
    <n v="74932"/>
    <x v="0"/>
    <n v="1"/>
    <n v="2.2493150684931509"/>
    <s v="Menior"/>
    <x v="0"/>
  </r>
  <r>
    <s v="E125"/>
    <s v="Rahul"/>
    <x v="1"/>
    <x v="1"/>
    <x v="24"/>
    <x v="121"/>
    <s v="2019-12-13"/>
    <n v="74196"/>
    <x v="0"/>
    <n v="3"/>
    <n v="1.4931506849315068"/>
    <s v="Menior"/>
    <x v="1"/>
  </r>
  <r>
    <s v="E126"/>
    <s v="Rohit"/>
    <x v="2"/>
    <x v="0"/>
    <x v="27"/>
    <x v="122"/>
    <m/>
    <n v="81319"/>
    <x v="1"/>
    <n v="5"/>
    <m/>
    <s v="Fresher"/>
    <x v="2"/>
  </r>
  <r>
    <s v="E127"/>
    <s v="Sneha"/>
    <x v="2"/>
    <x v="0"/>
    <x v="28"/>
    <x v="123"/>
    <s v="2020-02-22"/>
    <n v="51650"/>
    <x v="0"/>
    <n v="4"/>
    <n v="0.9452054794520548"/>
    <s v="Menior"/>
    <x v="1"/>
  </r>
  <r>
    <s v="E128"/>
    <s v="Arjun"/>
    <x v="2"/>
    <x v="1"/>
    <x v="10"/>
    <x v="124"/>
    <s v="2024-06-04"/>
    <n v="97654"/>
    <x v="0"/>
    <n v="5"/>
    <n v="2.2794520547945205"/>
    <s v="Menior"/>
    <x v="2"/>
  </r>
  <r>
    <s v="E129"/>
    <s v="Priya"/>
    <x v="4"/>
    <x v="0"/>
    <x v="12"/>
    <x v="31"/>
    <m/>
    <n v="65435"/>
    <x v="1"/>
    <n v="1"/>
    <m/>
    <s v="Menior"/>
    <x v="0"/>
  </r>
  <r>
    <s v="E130"/>
    <s v="Neha"/>
    <x v="2"/>
    <x v="0"/>
    <x v="26"/>
    <x v="125"/>
    <m/>
    <n v="28507"/>
    <x v="1"/>
    <n v="2"/>
    <m/>
    <s v="Senior"/>
    <x v="0"/>
  </r>
  <r>
    <s v="E131"/>
    <s v="Neha"/>
    <x v="1"/>
    <x v="0"/>
    <x v="17"/>
    <x v="126"/>
    <m/>
    <n v="36753"/>
    <x v="1"/>
    <n v="1"/>
    <m/>
    <s v="Senior"/>
    <x v="0"/>
  </r>
  <r>
    <s v="E132"/>
    <s v="Anjali"/>
    <x v="0"/>
    <x v="1"/>
    <x v="20"/>
    <x v="127"/>
    <m/>
    <n v="67548"/>
    <x v="1"/>
    <n v="3"/>
    <m/>
    <s v="Senior"/>
    <x v="1"/>
  </r>
  <r>
    <s v="E133"/>
    <s v="Rahul"/>
    <x v="0"/>
    <x v="0"/>
    <x v="22"/>
    <x v="128"/>
    <m/>
    <n v="72601"/>
    <x v="1"/>
    <n v="4"/>
    <m/>
    <s v="Fresher"/>
    <x v="1"/>
  </r>
  <r>
    <s v="E134"/>
    <s v="Sneha"/>
    <x v="2"/>
    <x v="0"/>
    <x v="12"/>
    <x v="129"/>
    <m/>
    <n v="95174"/>
    <x v="1"/>
    <n v="2"/>
    <m/>
    <s v="Menior"/>
    <x v="0"/>
  </r>
  <r>
    <s v="E135"/>
    <s v="Neha"/>
    <x v="2"/>
    <x v="1"/>
    <x v="18"/>
    <x v="130"/>
    <s v="2018-11-01"/>
    <n v="97888"/>
    <x v="0"/>
    <n v="2"/>
    <n v="1.6547945205479453"/>
    <s v="Senior"/>
    <x v="0"/>
  </r>
  <r>
    <s v="E136"/>
    <s v="Amit"/>
    <x v="1"/>
    <x v="0"/>
    <x v="10"/>
    <x v="131"/>
    <m/>
    <n v="115646"/>
    <x v="1"/>
    <n v="3"/>
    <m/>
    <s v="Menior"/>
    <x v="1"/>
  </r>
  <r>
    <s v="E137"/>
    <s v="Pooja"/>
    <x v="1"/>
    <x v="1"/>
    <x v="21"/>
    <x v="12"/>
    <s v="2018-04-10"/>
    <n v="60520"/>
    <x v="0"/>
    <n v="1"/>
    <n v="1.6109589041095891"/>
    <s v="Senior"/>
    <x v="0"/>
  </r>
  <r>
    <s v="E138"/>
    <s v="Karan"/>
    <x v="3"/>
    <x v="1"/>
    <x v="16"/>
    <x v="132"/>
    <s v="2025-06-24"/>
    <n v="68788"/>
    <x v="0"/>
    <n v="4"/>
    <n v="2.3917808219178083"/>
    <s v="Menior"/>
    <x v="1"/>
  </r>
  <r>
    <s v="E139"/>
    <s v="Karan"/>
    <x v="2"/>
    <x v="1"/>
    <x v="25"/>
    <x v="133"/>
    <m/>
    <n v="79105"/>
    <x v="1"/>
    <n v="3"/>
    <m/>
    <s v="Fresher"/>
    <x v="1"/>
  </r>
  <r>
    <s v="E140"/>
    <s v="Rahul"/>
    <x v="2"/>
    <x v="0"/>
    <x v="2"/>
    <x v="134"/>
    <m/>
    <n v="55472"/>
    <x v="1"/>
    <n v="3"/>
    <m/>
    <s v="Fresher"/>
    <x v="1"/>
  </r>
  <r>
    <s v="E141"/>
    <s v="Amit"/>
    <x v="1"/>
    <x v="1"/>
    <x v="18"/>
    <x v="135"/>
    <s v="2023-11-18"/>
    <n v="32338"/>
    <x v="0"/>
    <n v="3"/>
    <n v="2.1150684931506851"/>
    <s v="Senior"/>
    <x v="1"/>
  </r>
  <r>
    <s v="E142"/>
    <s v="Rohit"/>
    <x v="0"/>
    <x v="1"/>
    <x v="28"/>
    <x v="136"/>
    <m/>
    <n v="106987"/>
    <x v="1"/>
    <n v="3"/>
    <m/>
    <s v="Menior"/>
    <x v="1"/>
  </r>
  <r>
    <s v="E143"/>
    <s v="Pooja"/>
    <x v="2"/>
    <x v="0"/>
    <x v="2"/>
    <x v="137"/>
    <m/>
    <n v="51087"/>
    <x v="1"/>
    <n v="3"/>
    <m/>
    <s v="Fresher"/>
    <x v="1"/>
  </r>
  <r>
    <s v="E144"/>
    <s v="Neha"/>
    <x v="0"/>
    <x v="0"/>
    <x v="28"/>
    <x v="138"/>
    <m/>
    <n v="76611"/>
    <x v="1"/>
    <n v="3"/>
    <m/>
    <s v="Menior"/>
    <x v="1"/>
  </r>
  <r>
    <s v="E145"/>
    <s v="Neha"/>
    <x v="0"/>
    <x v="1"/>
    <x v="0"/>
    <x v="139"/>
    <m/>
    <n v="38615"/>
    <x v="1"/>
    <n v="2"/>
    <m/>
    <s v="Fresher"/>
    <x v="0"/>
  </r>
  <r>
    <s v="E146"/>
    <s v="Rahul"/>
    <x v="3"/>
    <x v="0"/>
    <x v="5"/>
    <x v="140"/>
    <s v="2022-08-15"/>
    <n v="110890"/>
    <x v="0"/>
    <n v="1"/>
    <n v="0.61917808219178083"/>
    <s v="Fresher"/>
    <x v="0"/>
  </r>
  <r>
    <s v="E147"/>
    <s v="Pooja"/>
    <x v="0"/>
    <x v="1"/>
    <x v="15"/>
    <x v="141"/>
    <m/>
    <n v="77633"/>
    <x v="1"/>
    <n v="3"/>
    <m/>
    <s v="Senior"/>
    <x v="1"/>
  </r>
  <r>
    <s v="E148"/>
    <s v="Neha"/>
    <x v="3"/>
    <x v="0"/>
    <x v="13"/>
    <x v="142"/>
    <m/>
    <n v="115149"/>
    <x v="1"/>
    <n v="5"/>
    <m/>
    <s v="Senior"/>
    <x v="2"/>
  </r>
  <r>
    <s v="E149"/>
    <s v="Priya"/>
    <x v="2"/>
    <x v="1"/>
    <x v="15"/>
    <x v="143"/>
    <s v="2025-09-23"/>
    <n v="75410"/>
    <x v="0"/>
    <n v="3"/>
    <n v="2.6739726027397261"/>
    <s v="Senior"/>
    <x v="1"/>
  </r>
  <r>
    <s v="E150"/>
    <s v="Priya"/>
    <x v="1"/>
    <x v="1"/>
    <x v="7"/>
    <x v="144"/>
    <m/>
    <n v="119343"/>
    <x v="1"/>
    <n v="5"/>
    <m/>
    <s v="Menior"/>
    <x v="2"/>
  </r>
  <r>
    <s v="E151"/>
    <s v="Arjun"/>
    <x v="2"/>
    <x v="1"/>
    <x v="21"/>
    <x v="145"/>
    <s v="2025-11-07"/>
    <n v="61700"/>
    <x v="0"/>
    <n v="5"/>
    <n v="4.021917808219178"/>
    <s v="Senior"/>
    <x v="2"/>
  </r>
  <r>
    <s v="E152"/>
    <s v="Rohit"/>
    <x v="1"/>
    <x v="0"/>
    <x v="14"/>
    <x v="13"/>
    <s v="2024-12-29"/>
    <n v="57100"/>
    <x v="0"/>
    <n v="2"/>
    <n v="2.473972602739726"/>
    <s v="Senior"/>
    <x v="0"/>
  </r>
  <r>
    <s v="E153"/>
    <s v="Karan"/>
    <x v="1"/>
    <x v="1"/>
    <x v="26"/>
    <x v="146"/>
    <m/>
    <n v="111204"/>
    <x v="1"/>
    <n v="4"/>
    <m/>
    <s v="Senior"/>
    <x v="1"/>
  </r>
  <r>
    <s v="E154"/>
    <s v="Priya"/>
    <x v="4"/>
    <x v="0"/>
    <x v="5"/>
    <x v="147"/>
    <m/>
    <n v="58788"/>
    <x v="1"/>
    <n v="4"/>
    <m/>
    <s v="Fresher"/>
    <x v="1"/>
  </r>
  <r>
    <s v="E155"/>
    <s v="Amit"/>
    <x v="4"/>
    <x v="0"/>
    <x v="23"/>
    <x v="148"/>
    <s v="2025-04-15"/>
    <n v="63060"/>
    <x v="0"/>
    <n v="1"/>
    <n v="2.8027397260273972"/>
    <s v="Menior"/>
    <x v="0"/>
  </r>
  <r>
    <s v="E156"/>
    <s v="Rohit"/>
    <x v="3"/>
    <x v="1"/>
    <x v="26"/>
    <x v="149"/>
    <s v="2022-11-12"/>
    <n v="38348"/>
    <x v="0"/>
    <n v="3"/>
    <n v="1.1534246575342466"/>
    <s v="Senior"/>
    <x v="1"/>
  </r>
  <r>
    <s v="E157"/>
    <s v="Anjali"/>
    <x v="2"/>
    <x v="0"/>
    <x v="6"/>
    <x v="150"/>
    <s v="2021-03-23"/>
    <n v="90638"/>
    <x v="0"/>
    <n v="1"/>
    <n v="1.2931506849315069"/>
    <s v="Menior"/>
    <x v="0"/>
  </r>
  <r>
    <s v="E158"/>
    <s v="Pooja"/>
    <x v="4"/>
    <x v="1"/>
    <x v="17"/>
    <x v="151"/>
    <m/>
    <n v="36701"/>
    <x v="1"/>
    <n v="4"/>
    <m/>
    <s v="Senior"/>
    <x v="1"/>
  </r>
  <r>
    <s v="E159"/>
    <s v="Arjun"/>
    <x v="4"/>
    <x v="1"/>
    <x v="21"/>
    <x v="152"/>
    <m/>
    <n v="52065"/>
    <x v="1"/>
    <n v="1"/>
    <m/>
    <s v="Senior"/>
    <x v="0"/>
  </r>
  <r>
    <s v="E160"/>
    <s v="Karan"/>
    <x v="0"/>
    <x v="0"/>
    <x v="16"/>
    <x v="153"/>
    <m/>
    <n v="103450"/>
    <x v="1"/>
    <n v="2"/>
    <m/>
    <s v="Menior"/>
    <x v="0"/>
  </r>
  <r>
    <s v="E161"/>
    <s v="Priya"/>
    <x v="3"/>
    <x v="0"/>
    <x v="7"/>
    <x v="154"/>
    <m/>
    <n v="76465"/>
    <x v="1"/>
    <n v="4"/>
    <m/>
    <s v="Menior"/>
    <x v="1"/>
  </r>
  <r>
    <s v="E162"/>
    <s v="Pooja"/>
    <x v="2"/>
    <x v="0"/>
    <x v="15"/>
    <x v="155"/>
    <s v="2020-01-10"/>
    <n v="98695"/>
    <x v="0"/>
    <n v="1"/>
    <n v="3.1945205479452055"/>
    <s v="Senior"/>
    <x v="0"/>
  </r>
  <r>
    <s v="E163"/>
    <s v="Rohit"/>
    <x v="2"/>
    <x v="1"/>
    <x v="1"/>
    <x v="156"/>
    <s v="2019-09-21"/>
    <n v="99585"/>
    <x v="0"/>
    <n v="4"/>
    <n v="3.493150684931507"/>
    <s v="Senior"/>
    <x v="1"/>
  </r>
  <r>
    <s v="E164"/>
    <s v="Rahul"/>
    <x v="0"/>
    <x v="0"/>
    <x v="19"/>
    <x v="157"/>
    <m/>
    <n v="94894"/>
    <x v="1"/>
    <n v="1"/>
    <m/>
    <s v="Senior"/>
    <x v="0"/>
  </r>
  <r>
    <s v="E165"/>
    <s v="Neha"/>
    <x v="0"/>
    <x v="0"/>
    <x v="7"/>
    <x v="118"/>
    <m/>
    <n v="30795"/>
    <x v="1"/>
    <n v="4"/>
    <m/>
    <s v="Menior"/>
    <x v="1"/>
  </r>
  <r>
    <s v="E166"/>
    <s v="Rahul"/>
    <x v="4"/>
    <x v="1"/>
    <x v="13"/>
    <x v="158"/>
    <m/>
    <n v="79361"/>
    <x v="1"/>
    <n v="5"/>
    <m/>
    <s v="Senior"/>
    <x v="2"/>
  </r>
  <r>
    <s v="E167"/>
    <s v="Arjun"/>
    <x v="1"/>
    <x v="1"/>
    <x v="1"/>
    <x v="159"/>
    <s v="2024-10-29"/>
    <n v="109725"/>
    <x v="0"/>
    <n v="2"/>
    <n v="3.6109589041095891"/>
    <s v="Senior"/>
    <x v="0"/>
  </r>
  <r>
    <s v="E168"/>
    <s v="Amit"/>
    <x v="4"/>
    <x v="1"/>
    <x v="25"/>
    <x v="160"/>
    <s v="2024-03-14"/>
    <n v="94622"/>
    <x v="0"/>
    <n v="4"/>
    <n v="1.6684931506849314"/>
    <s v="Fresher"/>
    <x v="1"/>
  </r>
  <r>
    <s v="E169"/>
    <s v="Neha"/>
    <x v="2"/>
    <x v="1"/>
    <x v="25"/>
    <x v="161"/>
    <m/>
    <n v="62641"/>
    <x v="1"/>
    <n v="4"/>
    <m/>
    <s v="Fresher"/>
    <x v="1"/>
  </r>
  <r>
    <s v="E170"/>
    <s v="Neha"/>
    <x v="3"/>
    <x v="0"/>
    <x v="3"/>
    <x v="162"/>
    <s v="2016-08-02"/>
    <n v="58647"/>
    <x v="0"/>
    <n v="3"/>
    <n v="1.547945205479452"/>
    <s v="Fresher"/>
    <x v="1"/>
  </r>
  <r>
    <s v="E171"/>
    <s v="Arjun"/>
    <x v="2"/>
    <x v="1"/>
    <x v="14"/>
    <x v="163"/>
    <s v="2025-02-06"/>
    <n v="28220"/>
    <x v="0"/>
    <n v="1"/>
    <n v="2.7232876712328768"/>
    <s v="Senior"/>
    <x v="0"/>
  </r>
  <r>
    <s v="E172"/>
    <s v="Priya"/>
    <x v="3"/>
    <x v="0"/>
    <x v="20"/>
    <x v="164"/>
    <m/>
    <n v="41042"/>
    <x v="1"/>
    <n v="2"/>
    <m/>
    <s v="Senior"/>
    <x v="0"/>
  </r>
  <r>
    <s v="E173"/>
    <s v="Rohit"/>
    <x v="0"/>
    <x v="1"/>
    <x v="0"/>
    <x v="165"/>
    <s v="2017-06-19"/>
    <n v="35678"/>
    <x v="0"/>
    <n v="3"/>
    <n v="0.67397260273972603"/>
    <s v="Fresher"/>
    <x v="1"/>
  </r>
  <r>
    <s v="E174"/>
    <s v="Arjun"/>
    <x v="2"/>
    <x v="0"/>
    <x v="19"/>
    <x v="166"/>
    <s v="2019-05-23"/>
    <n v="92625"/>
    <x v="0"/>
    <n v="2"/>
    <n v="2.7095890410958905"/>
    <s v="Senior"/>
    <x v="0"/>
  </r>
  <r>
    <s v="E175"/>
    <s v="Arjun"/>
    <x v="4"/>
    <x v="0"/>
    <x v="9"/>
    <x v="167"/>
    <m/>
    <n v="78034"/>
    <x v="1"/>
    <n v="2"/>
    <m/>
    <s v="Menior"/>
    <x v="0"/>
  </r>
  <r>
    <s v="E176"/>
    <s v="Sneha"/>
    <x v="0"/>
    <x v="0"/>
    <x v="8"/>
    <x v="168"/>
    <s v="2024-05-30"/>
    <n v="58991"/>
    <x v="0"/>
    <n v="5"/>
    <n v="2.8246575342465752"/>
    <s v="Menior"/>
    <x v="2"/>
  </r>
  <r>
    <s v="E177"/>
    <s v="Rohit"/>
    <x v="1"/>
    <x v="1"/>
    <x v="9"/>
    <x v="169"/>
    <m/>
    <n v="30171"/>
    <x v="1"/>
    <n v="2"/>
    <m/>
    <s v="Menior"/>
    <x v="0"/>
  </r>
  <r>
    <s v="E178"/>
    <s v="Sneha"/>
    <x v="1"/>
    <x v="1"/>
    <x v="21"/>
    <x v="47"/>
    <m/>
    <n v="34665"/>
    <x v="1"/>
    <n v="5"/>
    <m/>
    <s v="Senior"/>
    <x v="2"/>
  </r>
  <r>
    <s v="E179"/>
    <s v="Rahul"/>
    <x v="0"/>
    <x v="1"/>
    <x v="5"/>
    <x v="170"/>
    <s v="2023-06-11"/>
    <n v="110412"/>
    <x v="0"/>
    <n v="1"/>
    <n v="2.4657534246575343"/>
    <s v="Fresher"/>
    <x v="0"/>
  </r>
  <r>
    <s v="E180"/>
    <s v="Arjun"/>
    <x v="4"/>
    <x v="1"/>
    <x v="5"/>
    <x v="171"/>
    <m/>
    <n v="117480"/>
    <x v="1"/>
    <n v="4"/>
    <m/>
    <s v="Fresher"/>
    <x v="1"/>
  </r>
  <r>
    <s v="E181"/>
    <s v="Anjali"/>
    <x v="2"/>
    <x v="0"/>
    <x v="26"/>
    <x v="172"/>
    <m/>
    <n v="109293"/>
    <x v="1"/>
    <n v="3"/>
    <m/>
    <s v="Senior"/>
    <x v="1"/>
  </r>
  <r>
    <s v="E182"/>
    <s v="Arjun"/>
    <x v="4"/>
    <x v="1"/>
    <x v="2"/>
    <x v="173"/>
    <m/>
    <n v="64024"/>
    <x v="1"/>
    <n v="5"/>
    <m/>
    <s v="Fresher"/>
    <x v="2"/>
  </r>
  <r>
    <s v="E183"/>
    <s v="Rohit"/>
    <x v="4"/>
    <x v="0"/>
    <x v="12"/>
    <x v="174"/>
    <m/>
    <n v="76015"/>
    <x v="1"/>
    <n v="1"/>
    <m/>
    <s v="Menior"/>
    <x v="0"/>
  </r>
  <r>
    <s v="E184"/>
    <s v="Arjun"/>
    <x v="0"/>
    <x v="1"/>
    <x v="14"/>
    <x v="175"/>
    <m/>
    <n v="34201"/>
    <x v="1"/>
    <n v="2"/>
    <m/>
    <s v="Senior"/>
    <x v="0"/>
  </r>
  <r>
    <s v="E185"/>
    <s v="Karan"/>
    <x v="0"/>
    <x v="0"/>
    <x v="16"/>
    <x v="176"/>
    <m/>
    <n v="111740"/>
    <x v="1"/>
    <n v="5"/>
    <m/>
    <s v="Menior"/>
    <x v="2"/>
  </r>
  <r>
    <s v="E186"/>
    <s v="Pooja"/>
    <x v="0"/>
    <x v="0"/>
    <x v="12"/>
    <x v="177"/>
    <m/>
    <n v="81992"/>
    <x v="1"/>
    <n v="4"/>
    <m/>
    <s v="Menior"/>
    <x v="1"/>
  </r>
  <r>
    <s v="E187"/>
    <s v="Karan"/>
    <x v="2"/>
    <x v="0"/>
    <x v="0"/>
    <x v="178"/>
    <m/>
    <n v="115906"/>
    <x v="1"/>
    <n v="1"/>
    <m/>
    <s v="Fresher"/>
    <x v="0"/>
  </r>
  <r>
    <s v="E188"/>
    <s v="Amit"/>
    <x v="1"/>
    <x v="1"/>
    <x v="1"/>
    <x v="179"/>
    <m/>
    <n v="118088"/>
    <x v="1"/>
    <n v="2"/>
    <m/>
    <s v="Senior"/>
    <x v="0"/>
  </r>
  <r>
    <s v="E189"/>
    <s v="Neha"/>
    <x v="3"/>
    <x v="0"/>
    <x v="18"/>
    <x v="180"/>
    <s v="2023-06-05"/>
    <n v="95506"/>
    <x v="0"/>
    <n v="3"/>
    <n v="2.1424657534246574"/>
    <s v="Senior"/>
    <x v="1"/>
  </r>
  <r>
    <s v="E190"/>
    <s v="Amit"/>
    <x v="4"/>
    <x v="1"/>
    <x v="14"/>
    <x v="181"/>
    <s v="2017-01-13"/>
    <n v="107671"/>
    <x v="0"/>
    <n v="5"/>
    <n v="0.11232876712328767"/>
    <s v="Senior"/>
    <x v="2"/>
  </r>
  <r>
    <s v="E191"/>
    <s v="Sneha"/>
    <x v="0"/>
    <x v="0"/>
    <x v="12"/>
    <x v="182"/>
    <s v="2018-12-28"/>
    <n v="74959"/>
    <x v="0"/>
    <n v="1"/>
    <n v="2.7397260273972601"/>
    <s v="Menior"/>
    <x v="0"/>
  </r>
  <r>
    <s v="E192"/>
    <s v="Pooja"/>
    <x v="4"/>
    <x v="0"/>
    <x v="19"/>
    <x v="183"/>
    <m/>
    <n v="44203"/>
    <x v="1"/>
    <n v="4"/>
    <m/>
    <s v="Senior"/>
    <x v="1"/>
  </r>
  <r>
    <s v="E193"/>
    <s v="Amit"/>
    <x v="1"/>
    <x v="1"/>
    <x v="11"/>
    <x v="184"/>
    <m/>
    <n v="118954"/>
    <x v="1"/>
    <n v="2"/>
    <m/>
    <s v="Senior"/>
    <x v="0"/>
  </r>
  <r>
    <s v="E194"/>
    <s v="Karan"/>
    <x v="3"/>
    <x v="0"/>
    <x v="25"/>
    <x v="185"/>
    <s v="2023-11-16"/>
    <n v="78614"/>
    <x v="0"/>
    <n v="5"/>
    <n v="2.6547945205479451"/>
    <s v="Fresher"/>
    <x v="2"/>
  </r>
  <r>
    <s v="E195"/>
    <s v="Sneha"/>
    <x v="2"/>
    <x v="0"/>
    <x v="1"/>
    <x v="186"/>
    <s v="2018-04-03"/>
    <n v="70986"/>
    <x v="0"/>
    <n v="4"/>
    <n v="0.32054794520547947"/>
    <s v="Senior"/>
    <x v="1"/>
  </r>
  <r>
    <s v="E196"/>
    <s v="Rahul"/>
    <x v="1"/>
    <x v="0"/>
    <x v="18"/>
    <x v="187"/>
    <m/>
    <n v="84885"/>
    <x v="1"/>
    <n v="4"/>
    <m/>
    <s v="Senior"/>
    <x v="1"/>
  </r>
  <r>
    <s v="E197"/>
    <s v="Pooja"/>
    <x v="1"/>
    <x v="1"/>
    <x v="15"/>
    <x v="188"/>
    <m/>
    <n v="42401"/>
    <x v="1"/>
    <n v="3"/>
    <m/>
    <s v="Senior"/>
    <x v="1"/>
  </r>
  <r>
    <s v="E198"/>
    <s v="Rohit"/>
    <x v="2"/>
    <x v="1"/>
    <x v="0"/>
    <x v="189"/>
    <m/>
    <n v="42824"/>
    <x v="1"/>
    <n v="2"/>
    <m/>
    <s v="Fresher"/>
    <x v="0"/>
  </r>
  <r>
    <s v="E199"/>
    <s v="Arjun"/>
    <x v="2"/>
    <x v="1"/>
    <x v="28"/>
    <x v="190"/>
    <s v="2019-08-19"/>
    <n v="70664"/>
    <x v="0"/>
    <n v="1"/>
    <n v="3.3232876712328765"/>
    <s v="Menior"/>
    <x v="0"/>
  </r>
  <r>
    <s v="E200"/>
    <s v="Rahul"/>
    <x v="3"/>
    <x v="0"/>
    <x v="8"/>
    <x v="191"/>
    <s v="2020-11-01"/>
    <n v="111564"/>
    <x v="0"/>
    <n v="1"/>
    <n v="2.5561643835616437"/>
    <s v="Menior"/>
    <x v="0"/>
  </r>
  <r>
    <s v="E201"/>
    <s v="Neha"/>
    <x v="2"/>
    <x v="0"/>
    <x v="8"/>
    <x v="17"/>
    <m/>
    <n v="33083"/>
    <x v="1"/>
    <n v="2"/>
    <m/>
    <s v="Menior"/>
    <x v="0"/>
  </r>
  <r>
    <s v="E202"/>
    <s v="Karan"/>
    <x v="3"/>
    <x v="0"/>
    <x v="25"/>
    <x v="192"/>
    <s v="2021-12-16"/>
    <n v="33603"/>
    <x v="0"/>
    <n v="4"/>
    <n v="3.0630136986301371"/>
    <s v="Fresher"/>
    <x v="1"/>
  </r>
  <r>
    <s v="E203"/>
    <s v="Priya"/>
    <x v="0"/>
    <x v="1"/>
    <x v="19"/>
    <x v="193"/>
    <s v="2017-08-07"/>
    <n v="38283"/>
    <x v="0"/>
    <n v="2"/>
    <n v="1.0136986301369864"/>
    <s v="Senior"/>
    <x v="0"/>
  </r>
  <r>
    <s v="E204"/>
    <s v="Amit"/>
    <x v="3"/>
    <x v="1"/>
    <x v="24"/>
    <x v="194"/>
    <m/>
    <n v="34042"/>
    <x v="1"/>
    <n v="2"/>
    <m/>
    <s v="Menior"/>
    <x v="0"/>
  </r>
  <r>
    <s v="E205"/>
    <s v="Karan"/>
    <x v="1"/>
    <x v="1"/>
    <x v="3"/>
    <x v="195"/>
    <s v="2020-09-27"/>
    <n v="53494"/>
    <x v="0"/>
    <n v="2"/>
    <n v="0.78630136986301369"/>
    <s v="Fresher"/>
    <x v="0"/>
  </r>
  <r>
    <s v="E206"/>
    <s v="Amit"/>
    <x v="4"/>
    <x v="1"/>
    <x v="24"/>
    <x v="196"/>
    <m/>
    <n v="63281"/>
    <x v="1"/>
    <n v="2"/>
    <m/>
    <s v="Menior"/>
    <x v="0"/>
  </r>
  <r>
    <s v="E207"/>
    <s v="Rahul"/>
    <x v="0"/>
    <x v="0"/>
    <x v="13"/>
    <x v="197"/>
    <s v="2018-07-29"/>
    <n v="112965"/>
    <x v="0"/>
    <n v="5"/>
    <n v="1.9205479452054794"/>
    <s v="Senior"/>
    <x v="2"/>
  </r>
  <r>
    <s v="E208"/>
    <s v="Pooja"/>
    <x v="2"/>
    <x v="1"/>
    <x v="26"/>
    <x v="198"/>
    <m/>
    <n v="39180"/>
    <x v="1"/>
    <n v="3"/>
    <m/>
    <s v="Senior"/>
    <x v="1"/>
  </r>
  <r>
    <s v="E209"/>
    <s v="Neha"/>
    <x v="1"/>
    <x v="1"/>
    <x v="15"/>
    <x v="199"/>
    <s v="2019-06-04"/>
    <n v="106438"/>
    <x v="0"/>
    <n v="2"/>
    <n v="2.1561643835616437"/>
    <s v="Senior"/>
    <x v="0"/>
  </r>
  <r>
    <s v="E210"/>
    <s v="Pooja"/>
    <x v="3"/>
    <x v="1"/>
    <x v="19"/>
    <x v="200"/>
    <s v="2025-07-22"/>
    <n v="114178"/>
    <x v="0"/>
    <n v="2"/>
    <n v="2.3945205479452056"/>
    <s v="Senior"/>
    <x v="0"/>
  </r>
  <r>
    <s v="E211"/>
    <s v="Sneha"/>
    <x v="4"/>
    <x v="1"/>
    <x v="21"/>
    <x v="201"/>
    <s v="2022-08-12"/>
    <n v="48666"/>
    <x v="0"/>
    <n v="4"/>
    <n v="1.9753424657534246"/>
    <s v="Senior"/>
    <x v="1"/>
  </r>
  <r>
    <s v="E212"/>
    <s v="Rohit"/>
    <x v="3"/>
    <x v="0"/>
    <x v="18"/>
    <x v="202"/>
    <m/>
    <n v="115115"/>
    <x v="1"/>
    <n v="3"/>
    <m/>
    <s v="Senior"/>
    <x v="1"/>
  </r>
  <r>
    <s v="E213"/>
    <s v="Anjali"/>
    <x v="4"/>
    <x v="0"/>
    <x v="28"/>
    <x v="203"/>
    <m/>
    <n v="44789"/>
    <x v="1"/>
    <n v="5"/>
    <m/>
    <s v="Menior"/>
    <x v="2"/>
  </r>
  <r>
    <s v="E214"/>
    <s v="Pooja"/>
    <x v="4"/>
    <x v="1"/>
    <x v="1"/>
    <x v="204"/>
    <s v="2020-01-27"/>
    <n v="34019"/>
    <x v="0"/>
    <n v="1"/>
    <n v="3.0657534246575344"/>
    <s v="Senior"/>
    <x v="0"/>
  </r>
  <r>
    <s v="E215"/>
    <s v="Karan"/>
    <x v="3"/>
    <x v="1"/>
    <x v="7"/>
    <x v="205"/>
    <s v="2023-03-26"/>
    <n v="52467"/>
    <x v="0"/>
    <n v="2"/>
    <n v="2.6630136986301371"/>
    <s v="Menior"/>
    <x v="0"/>
  </r>
  <r>
    <s v="E216"/>
    <s v="Karan"/>
    <x v="1"/>
    <x v="1"/>
    <x v="22"/>
    <x v="206"/>
    <m/>
    <n v="35440"/>
    <x v="1"/>
    <n v="5"/>
    <m/>
    <s v="Fresher"/>
    <x v="2"/>
  </r>
  <r>
    <s v="E217"/>
    <s v="Karan"/>
    <x v="2"/>
    <x v="0"/>
    <x v="9"/>
    <x v="171"/>
    <s v="2022-01-15"/>
    <n v="33210"/>
    <x v="0"/>
    <n v="2"/>
    <n v="1.2493150684931507"/>
    <s v="Menior"/>
    <x v="0"/>
  </r>
  <r>
    <s v="E218"/>
    <s v="Rohit"/>
    <x v="0"/>
    <x v="0"/>
    <x v="9"/>
    <x v="207"/>
    <s v="2024-08-24"/>
    <n v="88016"/>
    <x v="0"/>
    <n v="4"/>
    <n v="3.6383561643835618"/>
    <s v="Menior"/>
    <x v="1"/>
  </r>
  <r>
    <s v="E219"/>
    <s v="Neha"/>
    <x v="4"/>
    <x v="0"/>
    <x v="11"/>
    <x v="208"/>
    <m/>
    <n v="37522"/>
    <x v="1"/>
    <n v="4"/>
    <m/>
    <s v="Senior"/>
    <x v="1"/>
  </r>
  <r>
    <s v="E220"/>
    <s v="Rahul"/>
    <x v="2"/>
    <x v="1"/>
    <x v="7"/>
    <x v="209"/>
    <m/>
    <n v="47782"/>
    <x v="1"/>
    <n v="1"/>
    <m/>
    <s v="Menior"/>
    <x v="0"/>
  </r>
  <r>
    <s v="E221"/>
    <s v="Arjun"/>
    <x v="4"/>
    <x v="1"/>
    <x v="12"/>
    <x v="210"/>
    <s v="2023-09-01"/>
    <n v="99327"/>
    <x v="0"/>
    <n v="1"/>
    <n v="2.4273972602739726"/>
    <s v="Menior"/>
    <x v="0"/>
  </r>
  <r>
    <s v="E222"/>
    <s v="Sneha"/>
    <x v="4"/>
    <x v="1"/>
    <x v="22"/>
    <x v="211"/>
    <s v="2022-06-29"/>
    <n v="49954"/>
    <x v="0"/>
    <n v="4"/>
    <n v="1.8"/>
    <s v="Fresher"/>
    <x v="1"/>
  </r>
  <r>
    <s v="E223"/>
    <s v="Anjali"/>
    <x v="1"/>
    <x v="0"/>
    <x v="6"/>
    <x v="212"/>
    <m/>
    <n v="101559"/>
    <x v="1"/>
    <n v="1"/>
    <m/>
    <s v="Menior"/>
    <x v="0"/>
  </r>
  <r>
    <s v="E224"/>
    <s v="Priya"/>
    <x v="4"/>
    <x v="1"/>
    <x v="23"/>
    <x v="213"/>
    <m/>
    <n v="42688"/>
    <x v="1"/>
    <n v="2"/>
    <m/>
    <s v="Menior"/>
    <x v="0"/>
  </r>
  <r>
    <s v="E225"/>
    <s v="Sneha"/>
    <x v="0"/>
    <x v="1"/>
    <x v="18"/>
    <x v="214"/>
    <s v="2018-09-24"/>
    <n v="56707"/>
    <x v="0"/>
    <n v="5"/>
    <n v="2.5342465753424657"/>
    <s v="Senior"/>
    <x v="2"/>
  </r>
  <r>
    <s v="E226"/>
    <s v="Anjali"/>
    <x v="1"/>
    <x v="1"/>
    <x v="25"/>
    <x v="215"/>
    <s v="2020-04-10"/>
    <n v="112225"/>
    <x v="0"/>
    <n v="3"/>
    <n v="1.5068493150684932"/>
    <s v="Fresher"/>
    <x v="1"/>
  </r>
  <r>
    <s v="E227"/>
    <s v="Arjun"/>
    <x v="4"/>
    <x v="1"/>
    <x v="0"/>
    <x v="216"/>
    <s v="2023-05-31"/>
    <n v="25421"/>
    <x v="0"/>
    <n v="2"/>
    <n v="0.50136986301369868"/>
    <s v="Fresher"/>
    <x v="0"/>
  </r>
  <r>
    <s v="E228"/>
    <s v="Arjun"/>
    <x v="4"/>
    <x v="1"/>
    <x v="16"/>
    <x v="217"/>
    <m/>
    <n v="26687"/>
    <x v="1"/>
    <n v="4"/>
    <m/>
    <s v="Menior"/>
    <x v="1"/>
  </r>
  <r>
    <s v="E229"/>
    <s v="Anjali"/>
    <x v="2"/>
    <x v="0"/>
    <x v="0"/>
    <x v="218"/>
    <m/>
    <n v="56668"/>
    <x v="1"/>
    <n v="3"/>
    <m/>
    <s v="Fresher"/>
    <x v="1"/>
  </r>
  <r>
    <s v="E230"/>
    <s v="Pooja"/>
    <x v="2"/>
    <x v="1"/>
    <x v="19"/>
    <x v="150"/>
    <m/>
    <n v="37127"/>
    <x v="1"/>
    <n v="4"/>
    <m/>
    <s v="Senior"/>
    <x v="1"/>
  </r>
  <r>
    <s v="E231"/>
    <s v="Anjali"/>
    <x v="4"/>
    <x v="1"/>
    <x v="4"/>
    <x v="219"/>
    <s v="2021-04-10"/>
    <n v="101801"/>
    <x v="0"/>
    <n v="5"/>
    <n v="3.1232876712328768"/>
    <s v="Fresher"/>
    <x v="2"/>
  </r>
  <r>
    <s v="E232"/>
    <s v="Rahul"/>
    <x v="4"/>
    <x v="0"/>
    <x v="22"/>
    <x v="220"/>
    <s v="2024-07-20"/>
    <n v="78924"/>
    <x v="0"/>
    <n v="2"/>
    <n v="3.8136986301369862"/>
    <s v="Fresher"/>
    <x v="0"/>
  </r>
  <r>
    <s v="E233"/>
    <s v="Anjali"/>
    <x v="0"/>
    <x v="1"/>
    <x v="16"/>
    <x v="221"/>
    <s v="2016-12-02"/>
    <n v="107162"/>
    <x v="0"/>
    <n v="2"/>
    <n v="1.0027397260273974"/>
    <s v="Menior"/>
    <x v="0"/>
  </r>
  <r>
    <s v="E234"/>
    <s v="Rahul"/>
    <x v="3"/>
    <x v="0"/>
    <x v="5"/>
    <x v="222"/>
    <s v="2018-07-10"/>
    <n v="108034"/>
    <x v="0"/>
    <n v="1"/>
    <n v="1.7972602739726027"/>
    <s v="Fresher"/>
    <x v="0"/>
  </r>
  <r>
    <s v="E235"/>
    <s v="Pooja"/>
    <x v="3"/>
    <x v="0"/>
    <x v="17"/>
    <x v="223"/>
    <m/>
    <n v="71857"/>
    <x v="1"/>
    <n v="4"/>
    <m/>
    <s v="Senior"/>
    <x v="1"/>
  </r>
  <r>
    <s v="E236"/>
    <s v="Rohit"/>
    <x v="3"/>
    <x v="0"/>
    <x v="23"/>
    <x v="224"/>
    <s v="2027-01-21"/>
    <n v="26415"/>
    <x v="0"/>
    <n v="4"/>
    <n v="4.0602739726027401"/>
    <s v="Menior"/>
    <x v="1"/>
  </r>
  <r>
    <s v="E237"/>
    <s v="Arjun"/>
    <x v="1"/>
    <x v="1"/>
    <x v="7"/>
    <x v="225"/>
    <s v="2019-06-10"/>
    <n v="114608"/>
    <x v="0"/>
    <n v="5"/>
    <n v="3.452054794520548"/>
    <s v="Menior"/>
    <x v="2"/>
  </r>
  <r>
    <s v="E238"/>
    <s v="Karan"/>
    <x v="3"/>
    <x v="1"/>
    <x v="6"/>
    <x v="65"/>
    <s v="2019-07-12"/>
    <n v="115200"/>
    <x v="0"/>
    <n v="5"/>
    <n v="1.6082191780821917"/>
    <s v="Menior"/>
    <x v="2"/>
  </r>
  <r>
    <s v="E239"/>
    <s v="Sneha"/>
    <x v="3"/>
    <x v="0"/>
    <x v="24"/>
    <x v="226"/>
    <m/>
    <n v="86188"/>
    <x v="1"/>
    <n v="3"/>
    <m/>
    <s v="Menior"/>
    <x v="1"/>
  </r>
  <r>
    <s v="E240"/>
    <s v="Sneha"/>
    <x v="2"/>
    <x v="0"/>
    <x v="24"/>
    <x v="227"/>
    <m/>
    <n v="40351"/>
    <x v="1"/>
    <n v="4"/>
    <m/>
    <s v="Menior"/>
    <x v="1"/>
  </r>
  <r>
    <s v="E241"/>
    <s v="Anjali"/>
    <x v="0"/>
    <x v="1"/>
    <x v="3"/>
    <x v="228"/>
    <s v="2022-08-14"/>
    <n v="80023"/>
    <x v="0"/>
    <n v="3"/>
    <n v="1.6109589041095891"/>
    <s v="Fresher"/>
    <x v="1"/>
  </r>
  <r>
    <s v="E242"/>
    <s v="Rahul"/>
    <x v="0"/>
    <x v="0"/>
    <x v="12"/>
    <x v="229"/>
    <s v="2026-02-14"/>
    <n v="53272"/>
    <x v="0"/>
    <n v="3"/>
    <n v="3.0191780821917806"/>
    <s v="Menior"/>
    <x v="1"/>
  </r>
  <r>
    <s v="E243"/>
    <s v="Sneha"/>
    <x v="0"/>
    <x v="0"/>
    <x v="4"/>
    <x v="230"/>
    <s v="2018-09-13"/>
    <n v="54136"/>
    <x v="0"/>
    <n v="1"/>
    <n v="2.8767123287671232"/>
    <s v="Fresher"/>
    <x v="0"/>
  </r>
  <r>
    <s v="E244"/>
    <s v="Anjali"/>
    <x v="4"/>
    <x v="0"/>
    <x v="22"/>
    <x v="231"/>
    <m/>
    <n v="119991"/>
    <x v="1"/>
    <n v="1"/>
    <m/>
    <s v="Fresher"/>
    <x v="0"/>
  </r>
  <r>
    <s v="E245"/>
    <s v="Amit"/>
    <x v="1"/>
    <x v="0"/>
    <x v="7"/>
    <x v="232"/>
    <m/>
    <n v="75543"/>
    <x v="1"/>
    <n v="3"/>
    <m/>
    <s v="Menior"/>
    <x v="1"/>
  </r>
  <r>
    <s v="E246"/>
    <s v="Amit"/>
    <x v="2"/>
    <x v="0"/>
    <x v="10"/>
    <x v="233"/>
    <m/>
    <n v="43870"/>
    <x v="1"/>
    <n v="5"/>
    <m/>
    <s v="Menior"/>
    <x v="2"/>
  </r>
  <r>
    <s v="E247"/>
    <s v="Neha"/>
    <x v="1"/>
    <x v="1"/>
    <x v="13"/>
    <x v="234"/>
    <m/>
    <n v="118157"/>
    <x v="1"/>
    <n v="4"/>
    <m/>
    <s v="Senior"/>
    <x v="1"/>
  </r>
  <r>
    <s v="E248"/>
    <s v="Neha"/>
    <x v="4"/>
    <x v="0"/>
    <x v="4"/>
    <x v="235"/>
    <s v="2019-08-27"/>
    <n v="28930"/>
    <x v="0"/>
    <n v="2"/>
    <n v="3.1205479452054794"/>
    <s v="Fresher"/>
    <x v="0"/>
  </r>
  <r>
    <s v="E249"/>
    <s v="Rahul"/>
    <x v="0"/>
    <x v="1"/>
    <x v="21"/>
    <x v="236"/>
    <s v="2017-08-06"/>
    <n v="104818"/>
    <x v="0"/>
    <n v="3"/>
    <n v="2.2547945205479452"/>
    <s v="Senior"/>
    <x v="1"/>
  </r>
  <r>
    <s v="E250"/>
    <s v="Pooja"/>
    <x v="2"/>
    <x v="1"/>
    <x v="25"/>
    <x v="237"/>
    <s v="2017-10-12"/>
    <n v="31666"/>
    <x v="0"/>
    <n v="1"/>
    <n v="2.5561643835616437"/>
    <s v="Fresher"/>
    <x v="0"/>
  </r>
  <r>
    <s v="E251"/>
    <s v="Rahul"/>
    <x v="2"/>
    <x v="1"/>
    <x v="8"/>
    <x v="238"/>
    <m/>
    <n v="73954"/>
    <x v="1"/>
    <n v="5"/>
    <m/>
    <s v="Menior"/>
    <x v="2"/>
  </r>
  <r>
    <s v="E252"/>
    <s v="Neha"/>
    <x v="0"/>
    <x v="1"/>
    <x v="11"/>
    <x v="111"/>
    <s v="2019-10-14"/>
    <n v="32176"/>
    <x v="0"/>
    <n v="1"/>
    <n v="1.6684931506849314"/>
    <s v="Senior"/>
    <x v="0"/>
  </r>
  <r>
    <s v="E253"/>
    <s v="Priya"/>
    <x v="4"/>
    <x v="1"/>
    <x v="6"/>
    <x v="239"/>
    <m/>
    <n v="102071"/>
    <x v="1"/>
    <n v="4"/>
    <m/>
    <s v="Menior"/>
    <x v="1"/>
  </r>
  <r>
    <s v="E254"/>
    <s v="Priya"/>
    <x v="1"/>
    <x v="1"/>
    <x v="26"/>
    <x v="240"/>
    <s v="2020-09-25"/>
    <n v="28918"/>
    <x v="0"/>
    <n v="5"/>
    <n v="1.1452054794520548"/>
    <s v="Senior"/>
    <x v="2"/>
  </r>
  <r>
    <s v="E255"/>
    <s v="Pooja"/>
    <x v="4"/>
    <x v="0"/>
    <x v="16"/>
    <x v="190"/>
    <s v="2019-05-08"/>
    <n v="48573"/>
    <x v="0"/>
    <n v="4"/>
    <n v="3.0410958904109591"/>
    <s v="Menior"/>
    <x v="1"/>
  </r>
  <r>
    <s v="E256"/>
    <s v="Pooja"/>
    <x v="1"/>
    <x v="1"/>
    <x v="23"/>
    <x v="241"/>
    <m/>
    <n v="40817"/>
    <x v="1"/>
    <n v="5"/>
    <m/>
    <s v="Menior"/>
    <x v="2"/>
  </r>
  <r>
    <s v="E257"/>
    <s v="Arjun"/>
    <x v="0"/>
    <x v="0"/>
    <x v="22"/>
    <x v="242"/>
    <s v="2021-10-24"/>
    <n v="95453"/>
    <x v="0"/>
    <n v="2"/>
    <n v="1.7972602739726027"/>
    <s v="Fresher"/>
    <x v="0"/>
  </r>
  <r>
    <s v="E258"/>
    <s v="Anjali"/>
    <x v="2"/>
    <x v="1"/>
    <x v="26"/>
    <x v="243"/>
    <s v="2020-09-30"/>
    <n v="39758"/>
    <x v="0"/>
    <n v="2"/>
    <n v="1.0438356164383562"/>
    <s v="Senior"/>
    <x v="0"/>
  </r>
  <r>
    <s v="E259"/>
    <s v="Neha"/>
    <x v="3"/>
    <x v="1"/>
    <x v="14"/>
    <x v="244"/>
    <m/>
    <n v="116056"/>
    <x v="1"/>
    <n v="2"/>
    <m/>
    <s v="Senior"/>
    <x v="0"/>
  </r>
  <r>
    <s v="E260"/>
    <s v="Rahul"/>
    <x v="2"/>
    <x v="1"/>
    <x v="19"/>
    <x v="245"/>
    <s v="2017-10-30"/>
    <n v="98914"/>
    <x v="0"/>
    <n v="5"/>
    <n v="1.5643835616438355"/>
    <s v="Senior"/>
    <x v="2"/>
  </r>
  <r>
    <s v="E261"/>
    <s v="Rohit"/>
    <x v="4"/>
    <x v="0"/>
    <x v="16"/>
    <x v="246"/>
    <s v="2022-06-04"/>
    <n v="32507"/>
    <x v="0"/>
    <n v="4"/>
    <n v="4.0356164383561648"/>
    <s v="Menior"/>
    <x v="1"/>
  </r>
  <r>
    <s v="E262"/>
    <s v="Arjun"/>
    <x v="2"/>
    <x v="0"/>
    <x v="26"/>
    <x v="247"/>
    <s v="2024-02-14"/>
    <n v="101290"/>
    <x v="0"/>
    <n v="2"/>
    <n v="3.5178082191780824"/>
    <s v="Senior"/>
    <x v="0"/>
  </r>
  <r>
    <s v="E263"/>
    <s v="Pooja"/>
    <x v="1"/>
    <x v="0"/>
    <x v="13"/>
    <x v="248"/>
    <m/>
    <n v="27487"/>
    <x v="1"/>
    <n v="3"/>
    <m/>
    <s v="Senior"/>
    <x v="1"/>
  </r>
  <r>
    <s v="E264"/>
    <s v="Neha"/>
    <x v="3"/>
    <x v="1"/>
    <x v="21"/>
    <x v="191"/>
    <s v="2021-12-20"/>
    <n v="27633"/>
    <x v="0"/>
    <n v="4"/>
    <n v="3.6904109589041094"/>
    <s v="Senior"/>
    <x v="1"/>
  </r>
  <r>
    <s v="E265"/>
    <s v="Karan"/>
    <x v="4"/>
    <x v="1"/>
    <x v="26"/>
    <x v="46"/>
    <s v="2020-12-16"/>
    <n v="40272"/>
    <x v="0"/>
    <n v="2"/>
    <n v="0.9506849315068493"/>
    <s v="Senior"/>
    <x v="0"/>
  </r>
  <r>
    <s v="E266"/>
    <s v="Anjali"/>
    <x v="2"/>
    <x v="1"/>
    <x v="8"/>
    <x v="249"/>
    <s v="2020-07-11"/>
    <n v="92529"/>
    <x v="0"/>
    <n v="2"/>
    <n v="3.2767123287671232"/>
    <s v="Menior"/>
    <x v="0"/>
  </r>
  <r>
    <s v="E267"/>
    <s v="Arjun"/>
    <x v="4"/>
    <x v="0"/>
    <x v="17"/>
    <x v="250"/>
    <s v="2019-09-19"/>
    <n v="67213"/>
    <x v="0"/>
    <n v="1"/>
    <n v="3.6931506849315068"/>
    <s v="Senior"/>
    <x v="0"/>
  </r>
  <r>
    <s v="E268"/>
    <s v="Pooja"/>
    <x v="2"/>
    <x v="0"/>
    <x v="10"/>
    <x v="251"/>
    <s v="2024-09-01"/>
    <n v="34575"/>
    <x v="0"/>
    <n v="2"/>
    <n v="1.5506849315068494"/>
    <s v="Menior"/>
    <x v="0"/>
  </r>
  <r>
    <s v="E269"/>
    <s v="Neha"/>
    <x v="1"/>
    <x v="0"/>
    <x v="24"/>
    <x v="252"/>
    <m/>
    <n v="54486"/>
    <x v="1"/>
    <n v="2"/>
    <m/>
    <s v="Menior"/>
    <x v="0"/>
  </r>
  <r>
    <s v="E270"/>
    <s v="Arjun"/>
    <x v="4"/>
    <x v="0"/>
    <x v="4"/>
    <x v="253"/>
    <m/>
    <n v="98984"/>
    <x v="1"/>
    <n v="4"/>
    <m/>
    <s v="Fresher"/>
    <x v="1"/>
  </r>
  <r>
    <s v="E271"/>
    <s v="Rahul"/>
    <x v="1"/>
    <x v="1"/>
    <x v="8"/>
    <x v="254"/>
    <s v="2025-11-26"/>
    <n v="82493"/>
    <x v="0"/>
    <n v="5"/>
    <n v="3.3643835616438356"/>
    <s v="Menior"/>
    <x v="2"/>
  </r>
  <r>
    <s v="E272"/>
    <s v="Neha"/>
    <x v="1"/>
    <x v="1"/>
    <x v="6"/>
    <x v="255"/>
    <s v="2017-08-05"/>
    <n v="80918"/>
    <x v="0"/>
    <n v="1"/>
    <n v="1.7917808219178082"/>
    <s v="Menior"/>
    <x v="0"/>
  </r>
  <r>
    <s v="E273"/>
    <s v="Rahul"/>
    <x v="3"/>
    <x v="0"/>
    <x v="15"/>
    <x v="227"/>
    <s v="2023-07-07"/>
    <n v="81547"/>
    <x v="0"/>
    <n v="5"/>
    <n v="3.8684931506849316"/>
    <s v="Senior"/>
    <x v="2"/>
  </r>
  <r>
    <s v="E274"/>
    <s v="Neha"/>
    <x v="2"/>
    <x v="1"/>
    <x v="3"/>
    <x v="256"/>
    <s v="2018-11-28"/>
    <n v="54984"/>
    <x v="0"/>
    <n v="5"/>
    <n v="1.1397260273972603"/>
    <s v="Fresher"/>
    <x v="2"/>
  </r>
  <r>
    <s v="E275"/>
    <s v="Rahul"/>
    <x v="3"/>
    <x v="1"/>
    <x v="10"/>
    <x v="257"/>
    <s v="2019-01-10"/>
    <n v="76237"/>
    <x v="0"/>
    <n v="2"/>
    <n v="0.35890410958904112"/>
    <s v="Menior"/>
    <x v="0"/>
  </r>
  <r>
    <s v="E276"/>
    <s v="Sneha"/>
    <x v="3"/>
    <x v="0"/>
    <x v="23"/>
    <x v="258"/>
    <m/>
    <n v="92324"/>
    <x v="1"/>
    <n v="2"/>
    <m/>
    <s v="Menior"/>
    <x v="0"/>
  </r>
  <r>
    <s v="E277"/>
    <s v="Sneha"/>
    <x v="1"/>
    <x v="1"/>
    <x v="26"/>
    <x v="259"/>
    <s v="2023-11-10"/>
    <n v="82778"/>
    <x v="0"/>
    <n v="5"/>
    <n v="2.3068493150684932"/>
    <s v="Senior"/>
    <x v="2"/>
  </r>
  <r>
    <s v="E278"/>
    <s v="Rohit"/>
    <x v="3"/>
    <x v="0"/>
    <x v="28"/>
    <x v="260"/>
    <s v="2022-08-10"/>
    <n v="69936"/>
    <x v="0"/>
    <n v="1"/>
    <n v="1.3260273972602741"/>
    <s v="Menior"/>
    <x v="0"/>
  </r>
  <r>
    <s v="E279"/>
    <s v="Anjali"/>
    <x v="4"/>
    <x v="1"/>
    <x v="0"/>
    <x v="38"/>
    <m/>
    <n v="44966"/>
    <x v="1"/>
    <n v="1"/>
    <m/>
    <s v="Fresher"/>
    <x v="0"/>
  </r>
  <r>
    <s v="E280"/>
    <s v="Arjun"/>
    <x v="1"/>
    <x v="0"/>
    <x v="1"/>
    <x v="261"/>
    <m/>
    <n v="48685"/>
    <x v="1"/>
    <n v="4"/>
    <m/>
    <s v="Senior"/>
    <x v="1"/>
  </r>
  <r>
    <s v="E281"/>
    <s v="Karan"/>
    <x v="4"/>
    <x v="0"/>
    <x v="16"/>
    <x v="262"/>
    <m/>
    <n v="106001"/>
    <x v="1"/>
    <n v="1"/>
    <m/>
    <s v="Menior"/>
    <x v="0"/>
  </r>
  <r>
    <s v="E282"/>
    <s v="Rahul"/>
    <x v="4"/>
    <x v="1"/>
    <x v="20"/>
    <x v="263"/>
    <s v="2020-11-23"/>
    <n v="41525"/>
    <x v="0"/>
    <n v="2"/>
    <n v="1.9671232876712328"/>
    <s v="Senior"/>
    <x v="0"/>
  </r>
  <r>
    <s v="E283"/>
    <s v="Arjun"/>
    <x v="3"/>
    <x v="1"/>
    <x v="15"/>
    <x v="264"/>
    <s v="2025-09-06"/>
    <n v="46166"/>
    <x v="0"/>
    <n v="2"/>
    <n v="3.0876712328767124"/>
    <s v="Senior"/>
    <x v="0"/>
  </r>
  <r>
    <s v="E284"/>
    <s v="Priya"/>
    <x v="1"/>
    <x v="0"/>
    <x v="24"/>
    <x v="86"/>
    <m/>
    <n v="104193"/>
    <x v="1"/>
    <n v="5"/>
    <m/>
    <s v="Menior"/>
    <x v="2"/>
  </r>
  <r>
    <s v="E285"/>
    <s v="Sneha"/>
    <x v="0"/>
    <x v="1"/>
    <x v="10"/>
    <x v="265"/>
    <m/>
    <n v="98350"/>
    <x v="1"/>
    <n v="4"/>
    <m/>
    <s v="Menior"/>
    <x v="1"/>
  </r>
  <r>
    <s v="E286"/>
    <s v="Sneha"/>
    <x v="2"/>
    <x v="1"/>
    <x v="16"/>
    <x v="266"/>
    <s v="2022-03-08"/>
    <n v="63164"/>
    <x v="0"/>
    <n v="5"/>
    <n v="0.30410958904109592"/>
    <s v="Menior"/>
    <x v="2"/>
  </r>
  <r>
    <s v="E287"/>
    <s v="Arjun"/>
    <x v="0"/>
    <x v="0"/>
    <x v="12"/>
    <x v="267"/>
    <s v="2020-11-29"/>
    <n v="71819"/>
    <x v="0"/>
    <n v="2"/>
    <n v="1.3287671232876712"/>
    <s v="Menior"/>
    <x v="0"/>
  </r>
  <r>
    <s v="E288"/>
    <s v="Pooja"/>
    <x v="2"/>
    <x v="1"/>
    <x v="23"/>
    <x v="268"/>
    <m/>
    <n v="92575"/>
    <x v="1"/>
    <n v="3"/>
    <m/>
    <s v="Menior"/>
    <x v="1"/>
  </r>
  <r>
    <s v="E289"/>
    <s v="Rohit"/>
    <x v="2"/>
    <x v="0"/>
    <x v="9"/>
    <x v="269"/>
    <s v="2024-06-04"/>
    <n v="87256"/>
    <x v="0"/>
    <n v="1"/>
    <n v="2.8657534246575342"/>
    <s v="Menior"/>
    <x v="0"/>
  </r>
  <r>
    <s v="E290"/>
    <s v="Amit"/>
    <x v="0"/>
    <x v="1"/>
    <x v="2"/>
    <x v="270"/>
    <m/>
    <n v="109542"/>
    <x v="1"/>
    <n v="4"/>
    <m/>
    <s v="Fresher"/>
    <x v="1"/>
  </r>
  <r>
    <s v="E291"/>
    <s v="Rahul"/>
    <x v="3"/>
    <x v="1"/>
    <x v="13"/>
    <x v="271"/>
    <s v="2017-07-30"/>
    <n v="116779"/>
    <x v="0"/>
    <n v="4"/>
    <n v="0.23835616438356164"/>
    <s v="Senior"/>
    <x v="1"/>
  </r>
  <r>
    <s v="E292"/>
    <s v="Sneha"/>
    <x v="1"/>
    <x v="1"/>
    <x v="19"/>
    <x v="272"/>
    <s v="2022-06-09"/>
    <n v="61909"/>
    <x v="0"/>
    <n v="4"/>
    <n v="1.263013698630137"/>
    <s v="Senior"/>
    <x v="1"/>
  </r>
  <r>
    <s v="E293"/>
    <s v="Karan"/>
    <x v="4"/>
    <x v="1"/>
    <x v="16"/>
    <x v="273"/>
    <s v="2018-09-23"/>
    <n v="116527"/>
    <x v="0"/>
    <n v="2"/>
    <n v="0.9178082191780822"/>
    <s v="Menior"/>
    <x v="0"/>
  </r>
  <r>
    <s v="E294"/>
    <s v="Anjali"/>
    <x v="4"/>
    <x v="0"/>
    <x v="7"/>
    <x v="274"/>
    <m/>
    <n v="99404"/>
    <x v="1"/>
    <n v="3"/>
    <m/>
    <s v="Menior"/>
    <x v="1"/>
  </r>
  <r>
    <s v="E295"/>
    <s v="Sneha"/>
    <x v="2"/>
    <x v="1"/>
    <x v="9"/>
    <x v="275"/>
    <s v="2018-10-01"/>
    <n v="35468"/>
    <x v="0"/>
    <n v="2"/>
    <n v="1.106849315068493"/>
    <s v="Menior"/>
    <x v="0"/>
  </r>
  <r>
    <s v="E296"/>
    <s v="Arjun"/>
    <x v="0"/>
    <x v="1"/>
    <x v="4"/>
    <x v="276"/>
    <s v="2018-02-01"/>
    <n v="50952"/>
    <x v="0"/>
    <n v="5"/>
    <n v="2.6986301369863015"/>
    <s v="Fresher"/>
    <x v="2"/>
  </r>
  <r>
    <s v="E297"/>
    <s v="Neha"/>
    <x v="4"/>
    <x v="0"/>
    <x v="7"/>
    <x v="277"/>
    <s v="2020-08-13"/>
    <n v="80741"/>
    <x v="0"/>
    <n v="5"/>
    <n v="0.19452054794520549"/>
    <s v="Menior"/>
    <x v="2"/>
  </r>
  <r>
    <s v="E298"/>
    <s v="Amit"/>
    <x v="2"/>
    <x v="1"/>
    <x v="5"/>
    <x v="278"/>
    <m/>
    <n v="74080"/>
    <x v="1"/>
    <n v="5"/>
    <m/>
    <s v="Fresher"/>
    <x v="2"/>
  </r>
  <r>
    <s v="E299"/>
    <s v="Sneha"/>
    <x v="3"/>
    <x v="1"/>
    <x v="11"/>
    <x v="279"/>
    <m/>
    <n v="46330"/>
    <x v="1"/>
    <n v="2"/>
    <m/>
    <s v="Senior"/>
    <x v="0"/>
  </r>
  <r>
    <s v="E300"/>
    <s v="Rohit"/>
    <x v="3"/>
    <x v="0"/>
    <x v="12"/>
    <x v="280"/>
    <s v="2017-05-23"/>
    <n v="93176"/>
    <x v="0"/>
    <n v="4"/>
    <n v="0.49589041095890413"/>
    <s v="Menio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001"/>
    <s v="Anjali"/>
    <s v="Marketing"/>
    <x v="0"/>
    <n v="29"/>
    <s v="2016-05-21"/>
    <s v="2017-11-30"/>
    <n v="113869"/>
    <s v="Yes"/>
    <n v="1"/>
    <n v="1.5287671232876712"/>
    <s v="Fresher"/>
    <s v="Low rating"/>
    <x v="0"/>
  </r>
  <r>
    <s v="E002"/>
    <s v="Priya"/>
    <s v="Finance"/>
    <x v="1"/>
    <n v="42"/>
    <s v="2018-06-12"/>
    <m/>
    <n v="31939"/>
    <s v="No"/>
    <n v="2"/>
    <m/>
    <s v="Senior"/>
    <s v="Low rating"/>
    <x v="1"/>
  </r>
  <r>
    <s v="E003"/>
    <s v="Priya"/>
    <s v="HR"/>
    <x v="1"/>
    <n v="28"/>
    <s v="2015-12-25"/>
    <m/>
    <n v="85304"/>
    <s v="No"/>
    <n v="4"/>
    <m/>
    <s v="Fresher"/>
    <s v="Medium rating"/>
    <x v="2"/>
  </r>
  <r>
    <s v="E004"/>
    <s v="Anjali"/>
    <s v="IT"/>
    <x v="1"/>
    <n v="23"/>
    <s v="2016-02-14"/>
    <s v="2016-04-19"/>
    <n v="26432"/>
    <s v="Yes"/>
    <n v="5"/>
    <n v="0.17808219178082191"/>
    <s v="Fresher"/>
    <s v="High rating"/>
    <x v="0"/>
  </r>
  <r>
    <s v="E005"/>
    <s v="Priya"/>
    <s v="Finance"/>
    <x v="0"/>
    <n v="24"/>
    <s v="2015-08-11"/>
    <m/>
    <n v="115816"/>
    <s v="No"/>
    <n v="2"/>
    <m/>
    <s v="Fresher"/>
    <s v="Low rating"/>
    <x v="2"/>
  </r>
  <r>
    <s v="E006"/>
    <s v="Neha"/>
    <s v="Sales"/>
    <x v="1"/>
    <n v="27"/>
    <s v="2015-09-26"/>
    <m/>
    <n v="73467"/>
    <s v="No"/>
    <n v="3"/>
    <m/>
    <s v="Fresher"/>
    <s v="Medium rating"/>
    <x v="2"/>
  </r>
  <r>
    <s v="E007"/>
    <s v="Rahul"/>
    <s v="Finance"/>
    <x v="1"/>
    <n v="35"/>
    <s v="2017-02-26"/>
    <m/>
    <n v="30425"/>
    <s v="No"/>
    <n v="5"/>
    <m/>
    <s v="Menior"/>
    <s v="High rating"/>
    <x v="3"/>
  </r>
  <r>
    <s v="E008"/>
    <s v="Sneha"/>
    <s v="IT"/>
    <x v="0"/>
    <n v="38"/>
    <s v="2018-06-13"/>
    <s v="2019-09-26"/>
    <n v="63115"/>
    <s v="Yes"/>
    <n v="3"/>
    <n v="1.2876712328767124"/>
    <s v="Menior"/>
    <s v="Medium rating"/>
    <x v="1"/>
  </r>
  <r>
    <s v="E009"/>
    <s v="Rohit"/>
    <s v="IT"/>
    <x v="0"/>
    <n v="34"/>
    <s v="2017-01-26"/>
    <s v="2017-07-31"/>
    <n v="39535"/>
    <s v="Yes"/>
    <n v="3"/>
    <n v="0.50958904109589043"/>
    <s v="Menior"/>
    <s v="Medium rating"/>
    <x v="3"/>
  </r>
  <r>
    <s v="E010"/>
    <s v="Priya"/>
    <s v="HR"/>
    <x v="1"/>
    <n v="42"/>
    <s v="2016-12-31"/>
    <m/>
    <n v="32003"/>
    <s v="No"/>
    <n v="2"/>
    <m/>
    <s v="Senior"/>
    <s v="Low rating"/>
    <x v="0"/>
  </r>
  <r>
    <s v="E011"/>
    <s v="Priya"/>
    <s v="Marketing"/>
    <x v="1"/>
    <n v="32"/>
    <s v="2019-09-19"/>
    <m/>
    <n v="89966"/>
    <s v="No"/>
    <n v="4"/>
    <m/>
    <s v="Menior"/>
    <s v="Medium rating"/>
    <x v="4"/>
  </r>
  <r>
    <s v="E012"/>
    <s v="Amit"/>
    <s v="Marketing"/>
    <x v="1"/>
    <n v="27"/>
    <s v="2021-07-03"/>
    <m/>
    <n v="76221"/>
    <s v="No"/>
    <n v="1"/>
    <m/>
    <s v="Fresher"/>
    <s v="Low rating"/>
    <x v="5"/>
  </r>
  <r>
    <s v="E013"/>
    <s v="Rahul"/>
    <s v="HR"/>
    <x v="0"/>
    <n v="39"/>
    <s v="2016-08-30"/>
    <s v="2020-02-16"/>
    <n v="106904"/>
    <s v="Yes"/>
    <n v="4"/>
    <n v="3.4657534246575343"/>
    <s v="Menior"/>
    <s v="Medium rating"/>
    <x v="0"/>
  </r>
  <r>
    <s v="E014"/>
    <s v="Arjun"/>
    <s v="Sales"/>
    <x v="1"/>
    <n v="47"/>
    <s v="2022-07-10"/>
    <m/>
    <n v="53650"/>
    <s v="No"/>
    <n v="3"/>
    <m/>
    <s v="Senior"/>
    <s v="Medium rating"/>
    <x v="6"/>
  </r>
  <r>
    <s v="E015"/>
    <s v="Priya"/>
    <s v="Finance"/>
    <x v="1"/>
    <n v="23"/>
    <s v="2017-03-29"/>
    <s v="2018-06-26"/>
    <n v="75411"/>
    <s v="Yes"/>
    <n v="5"/>
    <n v="1.2438356164383562"/>
    <s v="Fresher"/>
    <s v="High rating"/>
    <x v="3"/>
  </r>
  <r>
    <s v="E016"/>
    <s v="Arjun"/>
    <s v="IT"/>
    <x v="0"/>
    <n v="34"/>
    <s v="2020-12-21"/>
    <m/>
    <n v="27620"/>
    <s v="No"/>
    <n v="2"/>
    <m/>
    <s v="Menior"/>
    <s v="Low rating"/>
    <x v="7"/>
  </r>
  <r>
    <s v="E017"/>
    <s v="Anjali"/>
    <s v="Finance"/>
    <x v="0"/>
    <n v="27"/>
    <s v="2016-09-25"/>
    <s v="2019-11-03"/>
    <n v="85021"/>
    <s v="Yes"/>
    <n v="5"/>
    <n v="3.106849315068493"/>
    <s v="Fresher"/>
    <s v="High rating"/>
    <x v="0"/>
  </r>
  <r>
    <s v="E018"/>
    <s v="Neha"/>
    <s v="Finance"/>
    <x v="0"/>
    <n v="24"/>
    <s v="2020-02-11"/>
    <m/>
    <n v="64693"/>
    <s v="No"/>
    <n v="3"/>
    <m/>
    <s v="Fresher"/>
    <s v="Medium rating"/>
    <x v="7"/>
  </r>
  <r>
    <s v="E019"/>
    <s v="Rohit"/>
    <s v="Sales"/>
    <x v="0"/>
    <n v="28"/>
    <s v="2019-06-07"/>
    <m/>
    <n v="79717"/>
    <s v="No"/>
    <n v="1"/>
    <m/>
    <s v="Fresher"/>
    <s v="Low rating"/>
    <x v="4"/>
  </r>
  <r>
    <s v="E020"/>
    <s v="Pooja"/>
    <s v="Sales"/>
    <x v="1"/>
    <n v="31"/>
    <s v="2019-02-18"/>
    <m/>
    <n v="71721"/>
    <s v="No"/>
    <n v="1"/>
    <m/>
    <s v="Menior"/>
    <s v="Low rating"/>
    <x v="4"/>
  </r>
  <r>
    <s v="E021"/>
    <s v="Rohit"/>
    <s v="Finance"/>
    <x v="1"/>
    <n v="45"/>
    <s v="2021-05-07"/>
    <m/>
    <n v="84541"/>
    <s v="No"/>
    <n v="5"/>
    <m/>
    <s v="Senior"/>
    <s v="High rating"/>
    <x v="5"/>
  </r>
  <r>
    <s v="E022"/>
    <s v="Rahul"/>
    <s v="HR"/>
    <x v="0"/>
    <n v="45"/>
    <s v="2019-01-17"/>
    <s v="2022-06-09"/>
    <n v="61842"/>
    <s v="Yes"/>
    <n v="4"/>
    <n v="3.3945205479452056"/>
    <s v="Senior"/>
    <s v="Medium rating"/>
    <x v="4"/>
  </r>
  <r>
    <s v="E023"/>
    <s v="Rohit"/>
    <s v="HR"/>
    <x v="1"/>
    <n v="34"/>
    <s v="2022-01-02"/>
    <m/>
    <n v="111621"/>
    <s v="No"/>
    <n v="1"/>
    <m/>
    <s v="Menior"/>
    <s v="Low rating"/>
    <x v="6"/>
  </r>
  <r>
    <s v="E024"/>
    <s v="Karan"/>
    <s v="HR"/>
    <x v="1"/>
    <n v="32"/>
    <s v="2021-06-07"/>
    <m/>
    <n v="105303"/>
    <s v="No"/>
    <n v="5"/>
    <m/>
    <s v="Menior"/>
    <s v="High rating"/>
    <x v="5"/>
  </r>
  <r>
    <s v="E025"/>
    <s v="Anjali"/>
    <s v="HR"/>
    <x v="1"/>
    <n v="42"/>
    <s v="2019-12-14"/>
    <m/>
    <n v="26792"/>
    <s v="No"/>
    <n v="4"/>
    <m/>
    <s v="Senior"/>
    <s v="Medium rating"/>
    <x v="4"/>
  </r>
  <r>
    <s v="E026"/>
    <s v="Sneha"/>
    <s v="Finance"/>
    <x v="0"/>
    <n v="32"/>
    <s v="2018-07-25"/>
    <s v="2019-04-15"/>
    <n v="104077"/>
    <s v="Yes"/>
    <n v="2"/>
    <n v="0.72328767123287674"/>
    <s v="Menior"/>
    <s v="Low rating"/>
    <x v="1"/>
  </r>
  <r>
    <s v="E027"/>
    <s v="Neha"/>
    <s v="Sales"/>
    <x v="0"/>
    <n v="43"/>
    <s v="2016-12-12"/>
    <s v="2020-07-16"/>
    <n v="114292"/>
    <s v="Yes"/>
    <n v="5"/>
    <n v="3.5945205479452054"/>
    <s v="Senior"/>
    <s v="High rating"/>
    <x v="0"/>
  </r>
  <r>
    <s v="E028"/>
    <s v="Rahul"/>
    <s v="IT"/>
    <x v="1"/>
    <n v="29"/>
    <s v="2022-03-03"/>
    <s v="2023-04-20"/>
    <n v="40759"/>
    <s v="Yes"/>
    <n v="3"/>
    <n v="1.1315068493150684"/>
    <s v="Fresher"/>
    <s v="Medium rating"/>
    <x v="6"/>
  </r>
  <r>
    <s v="E029"/>
    <s v="Neha"/>
    <s v="Marketing"/>
    <x v="1"/>
    <n v="44"/>
    <s v="2018-07-18"/>
    <s v="2019-06-18"/>
    <n v="31521"/>
    <s v="Yes"/>
    <n v="3"/>
    <n v="0.9178082191780822"/>
    <s v="Senior"/>
    <s v="Medium rating"/>
    <x v="1"/>
  </r>
  <r>
    <s v="E030"/>
    <s v="Anjali"/>
    <s v="Sales"/>
    <x v="1"/>
    <n v="33"/>
    <s v="2022-01-12"/>
    <s v="2023-04-09"/>
    <n v="107269"/>
    <s v="Yes"/>
    <n v="5"/>
    <n v="1.2383561643835617"/>
    <s v="Menior"/>
    <s v="High rating"/>
    <x v="6"/>
  </r>
  <r>
    <s v="E031"/>
    <s v="Pooja"/>
    <s v="HR"/>
    <x v="0"/>
    <n v="31"/>
    <s v="2020-01-25"/>
    <m/>
    <n v="61604"/>
    <s v="No"/>
    <n v="1"/>
    <m/>
    <s v="Menior"/>
    <s v="Low rating"/>
    <x v="7"/>
  </r>
  <r>
    <s v="E032"/>
    <s v="Pooja"/>
    <s v="IT"/>
    <x v="1"/>
    <n v="50"/>
    <s v="2016-11-26"/>
    <s v="2017-09-12"/>
    <n v="37265"/>
    <s v="Yes"/>
    <n v="2"/>
    <n v="0.79452054794520544"/>
    <s v="Senior"/>
    <s v="Low rating"/>
    <x v="0"/>
  </r>
  <r>
    <s v="E033"/>
    <s v="Priya"/>
    <s v="HR"/>
    <x v="1"/>
    <n v="48"/>
    <s v="2021-12-27"/>
    <s v="2026-01-27"/>
    <n v="49646"/>
    <s v="Yes"/>
    <n v="2"/>
    <n v="4.087671232876712"/>
    <s v="Senior"/>
    <s v="Low rating"/>
    <x v="5"/>
  </r>
  <r>
    <s v="E034"/>
    <s v="Pooja"/>
    <s v="Marketing"/>
    <x v="0"/>
    <n v="45"/>
    <s v="2016-07-06"/>
    <m/>
    <n v="119547"/>
    <s v="No"/>
    <n v="3"/>
    <m/>
    <s v="Senior"/>
    <s v="Medium rating"/>
    <x v="0"/>
  </r>
  <r>
    <s v="E035"/>
    <s v="Pooja"/>
    <s v="Sales"/>
    <x v="1"/>
    <n v="23"/>
    <s v="2020-07-26"/>
    <m/>
    <n v="105756"/>
    <s v="No"/>
    <n v="5"/>
    <m/>
    <s v="Fresher"/>
    <s v="High rating"/>
    <x v="7"/>
  </r>
  <r>
    <s v="E036"/>
    <s v="Pooja"/>
    <s v="IT"/>
    <x v="1"/>
    <n v="27"/>
    <s v="2019-08-05"/>
    <s v="2022-06-14"/>
    <n v="112463"/>
    <s v="Yes"/>
    <n v="1"/>
    <n v="2.8602739726027395"/>
    <s v="Fresher"/>
    <s v="Low rating"/>
    <x v="4"/>
  </r>
  <r>
    <s v="E037"/>
    <s v="Arjun"/>
    <s v="IT"/>
    <x v="0"/>
    <n v="33"/>
    <s v="2021-09-28"/>
    <m/>
    <n v="84623"/>
    <s v="No"/>
    <n v="5"/>
    <m/>
    <s v="Menior"/>
    <s v="High rating"/>
    <x v="5"/>
  </r>
  <r>
    <s v="E038"/>
    <s v="Neha"/>
    <s v="IT"/>
    <x v="1"/>
    <n v="44"/>
    <s v="2015-06-01"/>
    <m/>
    <n v="30180"/>
    <s v="No"/>
    <n v="2"/>
    <m/>
    <s v="Senior"/>
    <s v="Low rating"/>
    <x v="2"/>
  </r>
  <r>
    <s v="E039"/>
    <s v="Rohit"/>
    <s v="Marketing"/>
    <x v="1"/>
    <n v="46"/>
    <s v="2017-04-03"/>
    <m/>
    <n v="119216"/>
    <s v="No"/>
    <n v="2"/>
    <m/>
    <s v="Senior"/>
    <s v="Low rating"/>
    <x v="3"/>
  </r>
  <r>
    <s v="E040"/>
    <s v="Rohit"/>
    <s v="HR"/>
    <x v="1"/>
    <n v="47"/>
    <s v="2016-09-18"/>
    <m/>
    <n v="30812"/>
    <s v="No"/>
    <n v="2"/>
    <m/>
    <s v="Senior"/>
    <s v="Low rating"/>
    <x v="0"/>
  </r>
  <r>
    <s v="E041"/>
    <s v="Sneha"/>
    <s v="HR"/>
    <x v="1"/>
    <n v="33"/>
    <s v="2018-08-06"/>
    <s v="2021-12-18"/>
    <n v="26482"/>
    <s v="Yes"/>
    <n v="1"/>
    <n v="3.3698630136986303"/>
    <s v="Menior"/>
    <s v="Low rating"/>
    <x v="1"/>
  </r>
  <r>
    <s v="E042"/>
    <s v="Pooja"/>
    <s v="Marketing"/>
    <x v="0"/>
    <n v="38"/>
    <s v="2017-04-17"/>
    <s v="2021-04-01"/>
    <n v="49555"/>
    <s v="Yes"/>
    <n v="4"/>
    <n v="3.9589041095890409"/>
    <s v="Menior"/>
    <s v="Medium rating"/>
    <x v="3"/>
  </r>
  <r>
    <s v="E043"/>
    <s v="Anjali"/>
    <s v="IT"/>
    <x v="1"/>
    <n v="35"/>
    <s v="2021-01-25"/>
    <s v="2024-04-30"/>
    <n v="94252"/>
    <s v="Yes"/>
    <n v="4"/>
    <n v="3.2630136986301368"/>
    <s v="Menior"/>
    <s v="Medium rating"/>
    <x v="5"/>
  </r>
  <r>
    <s v="E044"/>
    <s v="Rahul"/>
    <s v="Marketing"/>
    <x v="1"/>
    <n v="43"/>
    <s v="2015-03-31"/>
    <m/>
    <n v="106408"/>
    <s v="No"/>
    <n v="3"/>
    <m/>
    <s v="Senior"/>
    <s v="Medium rating"/>
    <x v="2"/>
  </r>
  <r>
    <s v="E045"/>
    <s v="Priya"/>
    <s v="Marketing"/>
    <x v="1"/>
    <n v="29"/>
    <s v="2020-02-25"/>
    <m/>
    <n v="81636"/>
    <s v="No"/>
    <n v="4"/>
    <m/>
    <s v="Fresher"/>
    <s v="Medium rating"/>
    <x v="7"/>
  </r>
  <r>
    <s v="E046"/>
    <s v="Amit"/>
    <s v="Finance"/>
    <x v="0"/>
    <n v="46"/>
    <s v="2016-09-12"/>
    <m/>
    <n v="105125"/>
    <s v="No"/>
    <n v="5"/>
    <m/>
    <s v="Senior"/>
    <s v="High rating"/>
    <x v="0"/>
  </r>
  <r>
    <s v="E047"/>
    <s v="Arjun"/>
    <s v="IT"/>
    <x v="1"/>
    <n v="41"/>
    <s v="2020-01-04"/>
    <m/>
    <n v="107233"/>
    <s v="No"/>
    <n v="2"/>
    <m/>
    <s v="Senior"/>
    <s v="Low rating"/>
    <x v="7"/>
  </r>
  <r>
    <s v="E048"/>
    <s v="Neha"/>
    <s v="Finance"/>
    <x v="1"/>
    <n v="38"/>
    <s v="2021-07-07"/>
    <s v="2025-06-23"/>
    <n v="65116"/>
    <s v="Yes"/>
    <n v="2"/>
    <n v="3.9643835616438357"/>
    <s v="Menior"/>
    <s v="Low rating"/>
    <x v="5"/>
  </r>
  <r>
    <s v="E049"/>
    <s v="Sneha"/>
    <s v="Sales"/>
    <x v="0"/>
    <n v="31"/>
    <s v="2020-06-14"/>
    <m/>
    <n v="61891"/>
    <s v="No"/>
    <n v="4"/>
    <m/>
    <s v="Menior"/>
    <s v="Medium rating"/>
    <x v="7"/>
  </r>
  <r>
    <s v="E050"/>
    <s v="Pooja"/>
    <s v="Sales"/>
    <x v="0"/>
    <n v="49"/>
    <s v="2020-10-22"/>
    <s v="2022-11-23"/>
    <n v="96032"/>
    <s v="Yes"/>
    <n v="4"/>
    <n v="2.0876712328767124"/>
    <s v="Senior"/>
    <s v="Medium rating"/>
    <x v="7"/>
  </r>
  <r>
    <s v="E051"/>
    <s v="Amit"/>
    <s v="IT"/>
    <x v="1"/>
    <n v="50"/>
    <s v="2022-03-30"/>
    <s v="2022-06-05"/>
    <n v="83689"/>
    <s v="Yes"/>
    <n v="2"/>
    <n v="0.18356164383561643"/>
    <s v="Senior"/>
    <s v="Low rating"/>
    <x v="6"/>
  </r>
  <r>
    <s v="E052"/>
    <s v="Rahul"/>
    <s v="Marketing"/>
    <x v="1"/>
    <n v="47"/>
    <s v="2017-12-09"/>
    <s v="2020-01-02"/>
    <n v="118478"/>
    <s v="Yes"/>
    <n v="3"/>
    <n v="2.0657534246575344"/>
    <s v="Senior"/>
    <s v="Medium rating"/>
    <x v="3"/>
  </r>
  <r>
    <s v="E053"/>
    <s v="Rohit"/>
    <s v="Finance"/>
    <x v="0"/>
    <n v="47"/>
    <s v="2015-10-31"/>
    <m/>
    <n v="55648"/>
    <s v="No"/>
    <n v="1"/>
    <m/>
    <s v="Senior"/>
    <s v="Low rating"/>
    <x v="2"/>
  </r>
  <r>
    <s v="E054"/>
    <s v="Neha"/>
    <s v="Marketing"/>
    <x v="1"/>
    <n v="34"/>
    <s v="2018-09-03"/>
    <m/>
    <n v="77673"/>
    <s v="No"/>
    <n v="5"/>
    <m/>
    <s v="Menior"/>
    <s v="High rating"/>
    <x v="1"/>
  </r>
  <r>
    <s v="E055"/>
    <s v="Neha"/>
    <s v="Sales"/>
    <x v="1"/>
    <n v="31"/>
    <s v="2020-12-16"/>
    <s v="2023-02-14"/>
    <n v="25816"/>
    <s v="Yes"/>
    <n v="2"/>
    <n v="2.1643835616438358"/>
    <s v="Menior"/>
    <s v="Low rating"/>
    <x v="7"/>
  </r>
  <r>
    <s v="E056"/>
    <s v="Amit"/>
    <s v="Marketing"/>
    <x v="0"/>
    <n v="38"/>
    <s v="2020-03-06"/>
    <m/>
    <n v="93674"/>
    <s v="No"/>
    <n v="5"/>
    <m/>
    <s v="Menior"/>
    <s v="High rating"/>
    <x v="7"/>
  </r>
  <r>
    <s v="E057"/>
    <s v="Rohit"/>
    <s v="Finance"/>
    <x v="0"/>
    <n v="27"/>
    <s v="2017-11-03"/>
    <s v="2019-11-11"/>
    <n v="67247"/>
    <s v="Yes"/>
    <n v="5"/>
    <m/>
    <s v="Fresher"/>
    <s v="High rating"/>
    <x v="3"/>
  </r>
  <r>
    <s v="E058"/>
    <s v="Anjali"/>
    <s v="Sales"/>
    <x v="1"/>
    <n v="43"/>
    <s v="2016-11-10"/>
    <m/>
    <n v="42624"/>
    <s v="No"/>
    <n v="4"/>
    <m/>
    <s v="Senior"/>
    <s v="Medium rating"/>
    <x v="0"/>
  </r>
  <r>
    <s v="E059"/>
    <s v="Amit"/>
    <s v="IT"/>
    <x v="0"/>
    <n v="47"/>
    <s v="2015-09-04"/>
    <s v="2018-10-01"/>
    <n v="25208"/>
    <s v="Yes"/>
    <n v="2"/>
    <n v="3.0767123287671234"/>
    <s v="Senior"/>
    <s v="Low rating"/>
    <x v="2"/>
  </r>
  <r>
    <s v="E060"/>
    <s v="Arjun"/>
    <s v="HR"/>
    <x v="1"/>
    <n v="43"/>
    <s v="2022-01-02"/>
    <m/>
    <n v="94440"/>
    <s v="No"/>
    <n v="4"/>
    <m/>
    <s v="Senior"/>
    <s v="Medium rating"/>
    <x v="6"/>
  </r>
  <r>
    <s v="E061"/>
    <s v="Arjun"/>
    <s v="Sales"/>
    <x v="0"/>
    <n v="32"/>
    <s v="2020-07-13"/>
    <s v="2023-10-31"/>
    <n v="39226"/>
    <s v="Yes"/>
    <n v="4"/>
    <n v="3.3013698630136985"/>
    <s v="Menior"/>
    <s v="Medium rating"/>
    <x v="7"/>
  </r>
  <r>
    <s v="E062"/>
    <s v="Sneha"/>
    <s v="HR"/>
    <x v="1"/>
    <n v="35"/>
    <s v="2023-02-28"/>
    <s v="2026-07-05"/>
    <n v="102208"/>
    <s v="Yes"/>
    <n v="5"/>
    <n v="3.3506849315068492"/>
    <s v="Menior"/>
    <s v="High rating"/>
    <x v="8"/>
  </r>
  <r>
    <s v="E063"/>
    <s v="Amit"/>
    <s v="Sales"/>
    <x v="1"/>
    <n v="38"/>
    <s v="2020-04-03"/>
    <m/>
    <n v="92067"/>
    <s v="No"/>
    <n v="2"/>
    <m/>
    <s v="Menior"/>
    <s v="Low rating"/>
    <x v="7"/>
  </r>
  <r>
    <s v="E064"/>
    <s v="Neha"/>
    <s v="HR"/>
    <x v="0"/>
    <n v="28"/>
    <s v="2019-11-19"/>
    <s v="2022-06-13"/>
    <n v="116324"/>
    <s v="Yes"/>
    <n v="4"/>
    <n v="2.5671232876712327"/>
    <s v="Fresher"/>
    <s v="Medium rating"/>
    <x v="4"/>
  </r>
  <r>
    <s v="E065"/>
    <s v="Amit"/>
    <s v="Sales"/>
    <x v="0"/>
    <n v="50"/>
    <s v="2016-06-10"/>
    <s v="2017-01-04"/>
    <n v="25164"/>
    <s v="Yes"/>
    <n v="5"/>
    <n v="0.56986301369863013"/>
    <s v="Senior"/>
    <s v="High rating"/>
    <x v="0"/>
  </r>
  <r>
    <s v="E066"/>
    <s v="Karan"/>
    <s v="IT"/>
    <x v="1"/>
    <n v="26"/>
    <s v="2016-06-03"/>
    <m/>
    <n v="111416"/>
    <s v="No"/>
    <n v="1"/>
    <m/>
    <s v="Fresher"/>
    <s v="Low rating"/>
    <x v="0"/>
  </r>
  <r>
    <s v="E067"/>
    <s v="Karan"/>
    <s v="Marketing"/>
    <x v="1"/>
    <n v="30"/>
    <s v="2017-12-02"/>
    <m/>
    <n v="37122"/>
    <s v="No"/>
    <n v="3"/>
    <m/>
    <s v="Menior"/>
    <s v="Medium rating"/>
    <x v="3"/>
  </r>
  <r>
    <s v="E068"/>
    <s v="Rohit"/>
    <s v="Finance"/>
    <x v="1"/>
    <n v="42"/>
    <s v="2017-10-02"/>
    <s v="2019-09-14"/>
    <n v="37669"/>
    <s v="Yes"/>
    <n v="3"/>
    <n v="1.9506849315068493"/>
    <s v="Senior"/>
    <s v="Medium rating"/>
    <x v="3"/>
  </r>
  <r>
    <s v="E069"/>
    <s v="Sneha"/>
    <s v="HR"/>
    <x v="1"/>
    <n v="36"/>
    <s v="2021-04-18"/>
    <s v="2025-03-16"/>
    <n v="103942"/>
    <s v="Yes"/>
    <n v="1"/>
    <n v="3.9123287671232876"/>
    <s v="Menior"/>
    <s v="Low rating"/>
    <x v="5"/>
  </r>
  <r>
    <s v="E070"/>
    <s v="Priya"/>
    <s v="HR"/>
    <x v="0"/>
    <n v="25"/>
    <s v="2021-01-01"/>
    <m/>
    <n v="119634"/>
    <s v="No"/>
    <n v="3"/>
    <m/>
    <s v="Fresher"/>
    <s v="Medium rating"/>
    <x v="5"/>
  </r>
  <r>
    <s v="E071"/>
    <s v="Rohit"/>
    <s v="Marketing"/>
    <x v="1"/>
    <n v="36"/>
    <s v="2018-11-04"/>
    <s v="2019-01-01"/>
    <n v="73611"/>
    <s v="Yes"/>
    <n v="2"/>
    <n v="0.15890410958904111"/>
    <s v="Menior"/>
    <s v="Low rating"/>
    <x v="1"/>
  </r>
  <r>
    <s v="E072"/>
    <s v="Arjun"/>
    <s v="IT"/>
    <x v="1"/>
    <n v="29"/>
    <s v="2019-08-10"/>
    <m/>
    <n v="59225"/>
    <s v="No"/>
    <n v="2"/>
    <m/>
    <s v="Fresher"/>
    <s v="Low rating"/>
    <x v="4"/>
  </r>
  <r>
    <s v="E073"/>
    <s v="Neha"/>
    <s v="HR"/>
    <x v="1"/>
    <n v="33"/>
    <s v="2018-03-01"/>
    <s v="2020-12-28"/>
    <n v="114308"/>
    <s v="Yes"/>
    <n v="5"/>
    <n v="2.8301369863013699"/>
    <s v="Menior"/>
    <s v="High rating"/>
    <x v="1"/>
  </r>
  <r>
    <s v="E074"/>
    <s v="Arjun"/>
    <s v="IT"/>
    <x v="0"/>
    <n v="30"/>
    <s v="2020-11-06"/>
    <m/>
    <n v="102550"/>
    <s v="No"/>
    <n v="1"/>
    <m/>
    <s v="Menior"/>
    <s v="Low rating"/>
    <x v="7"/>
  </r>
  <r>
    <s v="E075"/>
    <s v="Pooja"/>
    <s v="Finance"/>
    <x v="1"/>
    <n v="39"/>
    <s v="2021-10-19"/>
    <s v="2023-07-19"/>
    <n v="32189"/>
    <s v="Yes"/>
    <n v="1"/>
    <n v="1.747945205479452"/>
    <s v="Menior"/>
    <s v="Low rating"/>
    <x v="5"/>
  </r>
  <r>
    <s v="E076"/>
    <s v="Rahul"/>
    <s v="Sales"/>
    <x v="0"/>
    <n v="24"/>
    <s v="2017-09-12"/>
    <m/>
    <n v="36917"/>
    <s v="No"/>
    <n v="1"/>
    <m/>
    <s v="Fresher"/>
    <s v="Low rating"/>
    <x v="3"/>
  </r>
  <r>
    <s v="E077"/>
    <s v="Sneha"/>
    <s v="Marketing"/>
    <x v="0"/>
    <n v="29"/>
    <s v="2019-04-14"/>
    <s v="2019-06-27"/>
    <n v="77589"/>
    <s v="Yes"/>
    <n v="5"/>
    <n v="0.20273972602739726"/>
    <s v="Fresher"/>
    <s v="High rating"/>
    <x v="4"/>
  </r>
  <r>
    <s v="E078"/>
    <s v="Rohit"/>
    <s v="IT"/>
    <x v="1"/>
    <n v="46"/>
    <s v="2018-08-30"/>
    <s v="2019-05-20"/>
    <n v="61443"/>
    <s v="Yes"/>
    <n v="5"/>
    <n v="0.72054794520547949"/>
    <s v="Senior"/>
    <s v="High rating"/>
    <x v="1"/>
  </r>
  <r>
    <s v="E079"/>
    <s v="Rohit"/>
    <s v="HR"/>
    <x v="1"/>
    <n v="48"/>
    <s v="2020-05-02"/>
    <m/>
    <n v="60785"/>
    <s v="No"/>
    <n v="3"/>
    <m/>
    <s v="Senior"/>
    <s v="Medium rating"/>
    <x v="7"/>
  </r>
  <r>
    <s v="E080"/>
    <s v="Rohit"/>
    <s v="Finance"/>
    <x v="1"/>
    <n v="40"/>
    <s v="2017-07-28"/>
    <m/>
    <n v="45302"/>
    <s v="No"/>
    <n v="3"/>
    <m/>
    <s v="Senior"/>
    <s v="Medium rating"/>
    <x v="3"/>
  </r>
  <r>
    <s v="E081"/>
    <s v="Amit"/>
    <s v="IT"/>
    <x v="1"/>
    <n v="35"/>
    <s v="2020-12-08"/>
    <s v="2023-10-22"/>
    <n v="80015"/>
    <s v="Yes"/>
    <n v="4"/>
    <n v="2.871232876712329"/>
    <s v="Menior"/>
    <s v="Medium rating"/>
    <x v="7"/>
  </r>
  <r>
    <s v="E082"/>
    <s v="Priya"/>
    <s v="Sales"/>
    <x v="0"/>
    <n v="26"/>
    <s v="2021-12-12"/>
    <s v="2025-06-26"/>
    <n v="75255"/>
    <s v="Yes"/>
    <n v="3"/>
    <n v="3.5397260273972604"/>
    <s v="Fresher"/>
    <s v="Medium rating"/>
    <x v="5"/>
  </r>
  <r>
    <s v="E083"/>
    <s v="Priya"/>
    <s v="Marketing"/>
    <x v="0"/>
    <n v="25"/>
    <s v="2019-03-21"/>
    <m/>
    <n v="59206"/>
    <s v="No"/>
    <n v="5"/>
    <m/>
    <s v="Fresher"/>
    <s v="High rating"/>
    <x v="4"/>
  </r>
  <r>
    <s v="E084"/>
    <s v="Anjali"/>
    <s v="IT"/>
    <x v="1"/>
    <n v="38"/>
    <s v="2021-05-27"/>
    <s v="2021-11-09"/>
    <n v="107061"/>
    <s v="Yes"/>
    <n v="3"/>
    <n v="0.45479452054794522"/>
    <s v="Menior"/>
    <s v="Medium rating"/>
    <x v="5"/>
  </r>
  <r>
    <s v="E085"/>
    <s v="Rohit"/>
    <s v="Marketing"/>
    <x v="1"/>
    <n v="46"/>
    <s v="2017-01-27"/>
    <m/>
    <n v="55886"/>
    <s v="No"/>
    <n v="4"/>
    <m/>
    <s v="Senior"/>
    <s v="Medium rating"/>
    <x v="3"/>
  </r>
  <r>
    <s v="E086"/>
    <s v="Rahul"/>
    <s v="Marketing"/>
    <x v="1"/>
    <n v="23"/>
    <s v="2019-12-06"/>
    <m/>
    <n v="110120"/>
    <s v="No"/>
    <n v="1"/>
    <m/>
    <s v="Fresher"/>
    <s v="Low rating"/>
    <x v="4"/>
  </r>
  <r>
    <s v="E087"/>
    <s v="Rahul"/>
    <s v="Sales"/>
    <x v="1"/>
    <n v="25"/>
    <s v="2015-07-20"/>
    <s v="2016-08-19"/>
    <n v="96309"/>
    <s v="Yes"/>
    <n v="2"/>
    <n v="1.0849315068493151"/>
    <s v="Fresher"/>
    <s v="Low rating"/>
    <x v="2"/>
  </r>
  <r>
    <s v="E088"/>
    <s v="Amit"/>
    <s v="Sales"/>
    <x v="1"/>
    <n v="31"/>
    <s v="2022-11-11"/>
    <m/>
    <n v="49386"/>
    <s v="No"/>
    <n v="1"/>
    <m/>
    <s v="Menior"/>
    <s v="Low rating"/>
    <x v="6"/>
  </r>
  <r>
    <s v="E089"/>
    <s v="Priya"/>
    <s v="Sales"/>
    <x v="1"/>
    <n v="29"/>
    <s v="2019-01-05"/>
    <m/>
    <n v="106360"/>
    <s v="No"/>
    <n v="1"/>
    <m/>
    <s v="Fresher"/>
    <s v="Low rating"/>
    <x v="4"/>
  </r>
  <r>
    <s v="E090"/>
    <s v="Neha"/>
    <s v="Finance"/>
    <x v="1"/>
    <n v="49"/>
    <s v="2018-10-23"/>
    <s v="2020-10-01"/>
    <n v="66746"/>
    <s v="Yes"/>
    <n v="2"/>
    <n v="1.9424657534246574"/>
    <s v="Senior"/>
    <s v="Low rating"/>
    <x v="1"/>
  </r>
  <r>
    <s v="E091"/>
    <s v="Rohit"/>
    <s v="Finance"/>
    <x v="1"/>
    <n v="30"/>
    <s v="2018-07-15"/>
    <s v="2021-09-03"/>
    <n v="25329"/>
    <s v="Yes"/>
    <n v="1"/>
    <n v="3.1397260273972605"/>
    <s v="Menior"/>
    <s v="Low rating"/>
    <x v="1"/>
  </r>
  <r>
    <s v="E092"/>
    <s v="Karan"/>
    <s v="Finance"/>
    <x v="0"/>
    <n v="27"/>
    <s v="2022-11-03"/>
    <m/>
    <n v="90975"/>
    <s v="No"/>
    <n v="3"/>
    <m/>
    <s v="Fresher"/>
    <s v="Medium rating"/>
    <x v="6"/>
  </r>
  <r>
    <s v="E093"/>
    <s v="Arjun"/>
    <s v="Marketing"/>
    <x v="0"/>
    <n v="47"/>
    <s v="2022-11-28"/>
    <m/>
    <n v="109016"/>
    <s v="No"/>
    <n v="1"/>
    <m/>
    <s v="Senior"/>
    <s v="Low rating"/>
    <x v="6"/>
  </r>
  <r>
    <s v="E094"/>
    <s v="Rohit"/>
    <s v="Sales"/>
    <x v="0"/>
    <n v="28"/>
    <s v="2021-01-28"/>
    <s v="2024-10-06"/>
    <n v="75189"/>
    <s v="Yes"/>
    <n v="3"/>
    <n v="3.6904109589041094"/>
    <s v="Fresher"/>
    <s v="Medium rating"/>
    <x v="5"/>
  </r>
  <r>
    <s v="E095"/>
    <s v="Amit"/>
    <s v="IT"/>
    <x v="0"/>
    <n v="28"/>
    <s v="2016-07-03"/>
    <s v="2016-08-15"/>
    <n v="97771"/>
    <s v="Yes"/>
    <n v="1"/>
    <n v="0.11780821917808219"/>
    <s v="Fresher"/>
    <s v="Low rating"/>
    <x v="0"/>
  </r>
  <r>
    <s v="E096"/>
    <s v="Sneha"/>
    <s v="Finance"/>
    <x v="1"/>
    <n v="35"/>
    <s v="2017-04-13"/>
    <s v="2018-07-27"/>
    <n v="34368"/>
    <s v="Yes"/>
    <n v="5"/>
    <n v="1.2876712328767124"/>
    <s v="Menior"/>
    <s v="High rating"/>
    <x v="3"/>
  </r>
  <r>
    <s v="E097"/>
    <s v="Amit"/>
    <s v="HR"/>
    <x v="1"/>
    <n v="29"/>
    <s v="2020-06-20"/>
    <s v="2022-02-02"/>
    <n v="45093"/>
    <s v="Yes"/>
    <n v="3"/>
    <n v="1.6219178082191781"/>
    <s v="Fresher"/>
    <s v="Medium rating"/>
    <x v="7"/>
  </r>
  <r>
    <s v="E098"/>
    <s v="Rahul"/>
    <s v="Finance"/>
    <x v="1"/>
    <n v="32"/>
    <s v="2022-05-31"/>
    <s v="2024-09-27"/>
    <n v="84435"/>
    <s v="Yes"/>
    <n v="2"/>
    <n v="2.3287671232876712"/>
    <s v="Menior"/>
    <s v="Low rating"/>
    <x v="6"/>
  </r>
  <r>
    <s v="E099"/>
    <s v="Pooja"/>
    <s v="HR"/>
    <x v="0"/>
    <n v="24"/>
    <s v="2017-04-14"/>
    <m/>
    <n v="26663"/>
    <s v="No"/>
    <n v="3"/>
    <m/>
    <s v="Fresher"/>
    <s v="Medium rating"/>
    <x v="3"/>
  </r>
  <r>
    <s v="E100"/>
    <s v="Rohit"/>
    <s v="HR"/>
    <x v="1"/>
    <n v="30"/>
    <s v="2022-10-30"/>
    <m/>
    <n v="109325"/>
    <s v="No"/>
    <n v="3"/>
    <m/>
    <s v="Menior"/>
    <s v="Medium rating"/>
    <x v="6"/>
  </r>
  <r>
    <s v="E101"/>
    <s v="Priya"/>
    <s v="IT"/>
    <x v="0"/>
    <n v="40"/>
    <s v="2017-03-27"/>
    <s v="2020-06-04"/>
    <n v="98034"/>
    <s v="Yes"/>
    <n v="3"/>
    <n v="3.1917808219178081"/>
    <s v="Senior"/>
    <s v="Medium rating"/>
    <x v="3"/>
  </r>
  <r>
    <s v="E102"/>
    <s v="Neha"/>
    <s v="IT"/>
    <x v="1"/>
    <n v="29"/>
    <s v="2015-07-19"/>
    <m/>
    <n v="100059"/>
    <s v="No"/>
    <n v="2"/>
    <m/>
    <s v="Fresher"/>
    <s v="Low rating"/>
    <x v="2"/>
  </r>
  <r>
    <s v="E103"/>
    <s v="Priya"/>
    <s v="HR"/>
    <x v="1"/>
    <n v="49"/>
    <s v="2015-05-12"/>
    <m/>
    <n v="40376"/>
    <s v="No"/>
    <n v="5"/>
    <m/>
    <s v="Senior"/>
    <s v="High rating"/>
    <x v="2"/>
  </r>
  <r>
    <s v="E104"/>
    <s v="Pooja"/>
    <s v="Finance"/>
    <x v="0"/>
    <n v="46"/>
    <s v="2017-03-06"/>
    <s v="2017-09-02"/>
    <n v="70323"/>
    <s v="Yes"/>
    <n v="5"/>
    <n v="0.49315068493150682"/>
    <s v="Senior"/>
    <s v="High rating"/>
    <x v="3"/>
  </r>
  <r>
    <s v="E105"/>
    <s v="Rohit"/>
    <s v="IT"/>
    <x v="0"/>
    <n v="43"/>
    <s v="2015-07-04"/>
    <s v="2015-09-11"/>
    <n v="104735"/>
    <s v="Yes"/>
    <n v="1"/>
    <n v="0.18904109589041096"/>
    <s v="Senior"/>
    <s v="Low rating"/>
    <x v="2"/>
  </r>
  <r>
    <s v="E106"/>
    <s v="Neha"/>
    <s v="HR"/>
    <x v="0"/>
    <n v="46"/>
    <s v="2018-02-28"/>
    <m/>
    <n v="62368"/>
    <s v="No"/>
    <n v="1"/>
    <m/>
    <s v="Senior"/>
    <s v="Low rating"/>
    <x v="1"/>
  </r>
  <r>
    <s v="E107"/>
    <s v="Rohit"/>
    <s v="Sales"/>
    <x v="1"/>
    <n v="22"/>
    <s v="2019-06-19"/>
    <m/>
    <n v="58755"/>
    <s v="No"/>
    <n v="3"/>
    <m/>
    <s v="Fresher"/>
    <s v="Medium rating"/>
    <x v="4"/>
  </r>
  <r>
    <s v="E108"/>
    <s v="Anjali"/>
    <s v="Marketing"/>
    <x v="0"/>
    <n v="33"/>
    <s v="2016-09-18"/>
    <m/>
    <n v="116105"/>
    <s v="No"/>
    <n v="3"/>
    <m/>
    <s v="Menior"/>
    <s v="Medium rating"/>
    <x v="0"/>
  </r>
  <r>
    <s v="E109"/>
    <s v="Arjun"/>
    <s v="Marketing"/>
    <x v="1"/>
    <n v="28"/>
    <s v="2019-05-27"/>
    <s v="2022-03-11"/>
    <n v="79813"/>
    <s v="Yes"/>
    <n v="2"/>
    <n v="2.7917808219178082"/>
    <s v="Fresher"/>
    <s v="Low rating"/>
    <x v="4"/>
  </r>
  <r>
    <s v="E110"/>
    <s v="Rohit"/>
    <s v="Marketing"/>
    <x v="0"/>
    <n v="42"/>
    <s v="2015-07-06"/>
    <s v="2017-08-27"/>
    <n v="81689"/>
    <s v="Yes"/>
    <n v="2"/>
    <n v="2.1452054794520548"/>
    <s v="Senior"/>
    <s v="Low rating"/>
    <x v="2"/>
  </r>
  <r>
    <s v="E111"/>
    <s v="Anjali"/>
    <s v="Finance"/>
    <x v="0"/>
    <n v="39"/>
    <s v="2016-01-08"/>
    <m/>
    <n v="55203"/>
    <s v="No"/>
    <n v="5"/>
    <m/>
    <s v="Menior"/>
    <s v="High rating"/>
    <x v="0"/>
  </r>
  <r>
    <s v="E112"/>
    <s v="Neha"/>
    <s v="Marketing"/>
    <x v="1"/>
    <n v="48"/>
    <s v="2021-04-15"/>
    <m/>
    <n v="54684"/>
    <s v="No"/>
    <n v="2"/>
    <m/>
    <s v="Senior"/>
    <s v="Low rating"/>
    <x v="5"/>
  </r>
  <r>
    <s v="E113"/>
    <s v="Anjali"/>
    <s v="IT"/>
    <x v="0"/>
    <n v="42"/>
    <s v="2021-09-24"/>
    <m/>
    <n v="82753"/>
    <s v="No"/>
    <n v="1"/>
    <m/>
    <s v="Senior"/>
    <s v="Low rating"/>
    <x v="5"/>
  </r>
  <r>
    <s v="E114"/>
    <s v="Rohit"/>
    <s v="IT"/>
    <x v="1"/>
    <n v="25"/>
    <s v="2018-02-12"/>
    <m/>
    <n v="94703"/>
    <s v="No"/>
    <n v="4"/>
    <m/>
    <s v="Fresher"/>
    <s v="Medium rating"/>
    <x v="1"/>
  </r>
  <r>
    <s v="E115"/>
    <s v="Anjali"/>
    <s v="Finance"/>
    <x v="0"/>
    <n v="23"/>
    <s v="2021-02-14"/>
    <s v="2023-04-17"/>
    <n v="75513"/>
    <s v="Yes"/>
    <n v="2"/>
    <n v="2.1698630136986301"/>
    <s v="Fresher"/>
    <s v="Low rating"/>
    <x v="5"/>
  </r>
  <r>
    <s v="E116"/>
    <s v="Amit"/>
    <s v="Marketing"/>
    <x v="0"/>
    <n v="31"/>
    <s v="2016-10-12"/>
    <m/>
    <n v="90928"/>
    <s v="No"/>
    <n v="2"/>
    <m/>
    <s v="Menior"/>
    <s v="Low rating"/>
    <x v="0"/>
  </r>
  <r>
    <s v="E117"/>
    <s v="Priya"/>
    <s v="Sales"/>
    <x v="0"/>
    <n v="37"/>
    <s v="2021-10-30"/>
    <m/>
    <n v="104554"/>
    <s v="No"/>
    <n v="1"/>
    <m/>
    <s v="Menior"/>
    <s v="Low rating"/>
    <x v="5"/>
  </r>
  <r>
    <s v="E118"/>
    <s v="Sneha"/>
    <s v="HR"/>
    <x v="0"/>
    <n v="40"/>
    <s v="2016-02-15"/>
    <s v="2017-09-04"/>
    <n v="27003"/>
    <s v="Yes"/>
    <n v="3"/>
    <n v="1.5534246575342465"/>
    <s v="Senior"/>
    <s v="Medium rating"/>
    <x v="0"/>
  </r>
  <r>
    <s v="E119"/>
    <s v="Karan"/>
    <s v="Marketing"/>
    <x v="1"/>
    <n v="44"/>
    <s v="2017-03-13"/>
    <s v="2019-06-29"/>
    <n v="42361"/>
    <s v="Yes"/>
    <n v="1"/>
    <n v="2.2958904109589042"/>
    <s v="Senior"/>
    <s v="Low rating"/>
    <x v="3"/>
  </r>
  <r>
    <s v="E120"/>
    <s v="Neha"/>
    <s v="Sales"/>
    <x v="1"/>
    <n v="43"/>
    <s v="2018-08-19"/>
    <s v="2019-02-08"/>
    <n v="101559"/>
    <s v="Yes"/>
    <n v="2"/>
    <n v="0.47397260273972602"/>
    <s v="Senior"/>
    <s v="Low rating"/>
    <x v="1"/>
  </r>
  <r>
    <s v="E121"/>
    <s v="Priya"/>
    <s v="IT"/>
    <x v="0"/>
    <n v="34"/>
    <s v="2020-01-25"/>
    <m/>
    <n v="92786"/>
    <s v="No"/>
    <n v="5"/>
    <m/>
    <s v="Menior"/>
    <s v="High rating"/>
    <x v="7"/>
  </r>
  <r>
    <s v="E122"/>
    <s v="Pooja"/>
    <s v="Marketing"/>
    <x v="0"/>
    <n v="30"/>
    <s v="2017-01-29"/>
    <m/>
    <n v="92883"/>
    <s v="No"/>
    <n v="2"/>
    <m/>
    <s v="Menior"/>
    <s v="Low rating"/>
    <x v="3"/>
  </r>
  <r>
    <s v="E123"/>
    <s v="Priya"/>
    <s v="HR"/>
    <x v="1"/>
    <n v="44"/>
    <s v="2018-12-05"/>
    <s v="2021-12-20"/>
    <n v="75185"/>
    <s v="Yes"/>
    <n v="3"/>
    <n v="3.043835616438356"/>
    <s v="Senior"/>
    <s v="Medium rating"/>
    <x v="1"/>
  </r>
  <r>
    <s v="E124"/>
    <s v="Sneha"/>
    <s v="IT"/>
    <x v="1"/>
    <n v="38"/>
    <s v="2023-03-20"/>
    <s v="2025-06-18"/>
    <n v="74932"/>
    <s v="Yes"/>
    <n v="1"/>
    <n v="2.2493150684931509"/>
    <s v="Menior"/>
    <s v="Low rating"/>
    <x v="8"/>
  </r>
  <r>
    <s v="E125"/>
    <s v="Rahul"/>
    <s v="Finance"/>
    <x v="1"/>
    <n v="36"/>
    <s v="2018-06-16"/>
    <s v="2019-12-13"/>
    <n v="74196"/>
    <s v="Yes"/>
    <n v="3"/>
    <n v="1.4931506849315068"/>
    <s v="Menior"/>
    <s v="Medium rating"/>
    <x v="1"/>
  </r>
  <r>
    <s v="E126"/>
    <s v="Rohit"/>
    <s v="HR"/>
    <x v="0"/>
    <n v="22"/>
    <s v="2021-05-13"/>
    <m/>
    <n v="81319"/>
    <s v="No"/>
    <n v="5"/>
    <m/>
    <s v="Fresher"/>
    <s v="High rating"/>
    <x v="5"/>
  </r>
  <r>
    <s v="E127"/>
    <s v="Sneha"/>
    <s v="HR"/>
    <x v="0"/>
    <n v="37"/>
    <s v="2019-03-14"/>
    <s v="2020-02-22"/>
    <n v="51650"/>
    <s v="Yes"/>
    <n v="4"/>
    <n v="0.9452054794520548"/>
    <s v="Menior"/>
    <s v="Medium rating"/>
    <x v="4"/>
  </r>
  <r>
    <s v="E128"/>
    <s v="Arjun"/>
    <s v="HR"/>
    <x v="1"/>
    <n v="39"/>
    <s v="2022-02-23"/>
    <s v="2024-06-04"/>
    <n v="97654"/>
    <s v="Yes"/>
    <n v="5"/>
    <n v="2.2794520547945205"/>
    <s v="Menior"/>
    <s v="High rating"/>
    <x v="6"/>
  </r>
  <r>
    <s v="E129"/>
    <s v="Priya"/>
    <s v="Sales"/>
    <x v="0"/>
    <n v="31"/>
    <s v="2016-11-26"/>
    <m/>
    <n v="65435"/>
    <s v="No"/>
    <n v="1"/>
    <m/>
    <s v="Menior"/>
    <s v="Low rating"/>
    <x v="0"/>
  </r>
  <r>
    <s v="E130"/>
    <s v="Neha"/>
    <s v="HR"/>
    <x v="0"/>
    <n v="40"/>
    <s v="2021-09-19"/>
    <m/>
    <n v="28507"/>
    <s v="No"/>
    <n v="2"/>
    <m/>
    <s v="Senior"/>
    <s v="Low rating"/>
    <x v="5"/>
  </r>
  <r>
    <s v="E131"/>
    <s v="Neha"/>
    <s v="Finance"/>
    <x v="0"/>
    <n v="50"/>
    <s v="2019-08-01"/>
    <m/>
    <n v="36753"/>
    <s v="No"/>
    <n v="1"/>
    <m/>
    <s v="Senior"/>
    <s v="Low rating"/>
    <x v="4"/>
  </r>
  <r>
    <s v="E132"/>
    <s v="Anjali"/>
    <s v="Marketing"/>
    <x v="1"/>
    <n v="41"/>
    <s v="2015-02-12"/>
    <m/>
    <n v="67548"/>
    <s v="No"/>
    <n v="3"/>
    <m/>
    <s v="Senior"/>
    <s v="Medium rating"/>
    <x v="2"/>
  </r>
  <r>
    <s v="E133"/>
    <s v="Rahul"/>
    <s v="Marketing"/>
    <x v="0"/>
    <n v="26"/>
    <s v="2021-05-19"/>
    <m/>
    <n v="72601"/>
    <s v="No"/>
    <n v="4"/>
    <m/>
    <s v="Fresher"/>
    <s v="Medium rating"/>
    <x v="5"/>
  </r>
  <r>
    <s v="E134"/>
    <s v="Sneha"/>
    <s v="HR"/>
    <x v="0"/>
    <n v="31"/>
    <s v="2018-02-24"/>
    <m/>
    <n v="95174"/>
    <s v="No"/>
    <n v="2"/>
    <m/>
    <s v="Menior"/>
    <s v="Low rating"/>
    <x v="1"/>
  </r>
  <r>
    <s v="E135"/>
    <s v="Neha"/>
    <s v="HR"/>
    <x v="1"/>
    <n v="48"/>
    <s v="2017-03-07"/>
    <s v="2018-11-01"/>
    <n v="97888"/>
    <s v="Yes"/>
    <n v="2"/>
    <n v="1.6547945205479453"/>
    <s v="Senior"/>
    <s v="Low rating"/>
    <x v="3"/>
  </r>
  <r>
    <s v="E136"/>
    <s v="Amit"/>
    <s v="Finance"/>
    <x v="0"/>
    <n v="39"/>
    <s v="2022-08-30"/>
    <m/>
    <n v="115646"/>
    <s v="No"/>
    <n v="3"/>
    <m/>
    <s v="Menior"/>
    <s v="Medium rating"/>
    <x v="6"/>
  </r>
  <r>
    <s v="E137"/>
    <s v="Pooja"/>
    <s v="Finance"/>
    <x v="1"/>
    <n v="49"/>
    <s v="2016-08-30"/>
    <s v="2018-04-10"/>
    <n v="60520"/>
    <s v="Yes"/>
    <n v="1"/>
    <n v="1.6109589041095891"/>
    <s v="Senior"/>
    <s v="Low rating"/>
    <x v="0"/>
  </r>
  <r>
    <s v="E138"/>
    <s v="Karan"/>
    <s v="IT"/>
    <x v="1"/>
    <n v="33"/>
    <s v="2023-02-02"/>
    <s v="2025-06-24"/>
    <n v="68788"/>
    <s v="Yes"/>
    <n v="4"/>
    <n v="2.3917808219178083"/>
    <s v="Menior"/>
    <s v="Medium rating"/>
    <x v="8"/>
  </r>
  <r>
    <s v="E139"/>
    <s v="Karan"/>
    <s v="HR"/>
    <x v="1"/>
    <n v="25"/>
    <s v="2016-07-19"/>
    <m/>
    <n v="79105"/>
    <s v="No"/>
    <n v="3"/>
    <m/>
    <s v="Fresher"/>
    <s v="Medium rating"/>
    <x v="0"/>
  </r>
  <r>
    <s v="E140"/>
    <s v="Rahul"/>
    <s v="HR"/>
    <x v="0"/>
    <n v="28"/>
    <s v="2017-07-11"/>
    <m/>
    <n v="55472"/>
    <s v="No"/>
    <n v="3"/>
    <m/>
    <s v="Fresher"/>
    <s v="Medium rating"/>
    <x v="3"/>
  </r>
  <r>
    <s v="E141"/>
    <s v="Amit"/>
    <s v="Finance"/>
    <x v="1"/>
    <n v="48"/>
    <s v="2021-10-07"/>
    <s v="2023-11-18"/>
    <n v="32338"/>
    <s v="Yes"/>
    <n v="3"/>
    <n v="2.1150684931506851"/>
    <s v="Senior"/>
    <s v="Medium rating"/>
    <x v="5"/>
  </r>
  <r>
    <s v="E142"/>
    <s v="Rohit"/>
    <s v="Marketing"/>
    <x v="1"/>
    <n v="37"/>
    <s v="2018-10-27"/>
    <m/>
    <n v="106987"/>
    <s v="No"/>
    <n v="3"/>
    <m/>
    <s v="Menior"/>
    <s v="Medium rating"/>
    <x v="1"/>
  </r>
  <r>
    <s v="E143"/>
    <s v="Pooja"/>
    <s v="HR"/>
    <x v="0"/>
    <n v="28"/>
    <s v="2018-04-30"/>
    <m/>
    <n v="51087"/>
    <s v="No"/>
    <n v="3"/>
    <m/>
    <s v="Fresher"/>
    <s v="Medium rating"/>
    <x v="1"/>
  </r>
  <r>
    <s v="E144"/>
    <s v="Neha"/>
    <s v="Marketing"/>
    <x v="0"/>
    <n v="37"/>
    <s v="2015-12-01"/>
    <m/>
    <n v="76611"/>
    <s v="No"/>
    <n v="3"/>
    <m/>
    <s v="Menior"/>
    <s v="Medium rating"/>
    <x v="2"/>
  </r>
  <r>
    <s v="E145"/>
    <s v="Neha"/>
    <s v="Marketing"/>
    <x v="1"/>
    <n v="29"/>
    <s v="2018-12-28"/>
    <m/>
    <n v="38615"/>
    <s v="No"/>
    <n v="2"/>
    <m/>
    <s v="Fresher"/>
    <s v="Low rating"/>
    <x v="1"/>
  </r>
  <r>
    <s v="E146"/>
    <s v="Rahul"/>
    <s v="IT"/>
    <x v="0"/>
    <n v="27"/>
    <s v="2022-01-01"/>
    <s v="2022-08-15"/>
    <n v="110890"/>
    <s v="Yes"/>
    <n v="1"/>
    <n v="0.61917808219178083"/>
    <s v="Fresher"/>
    <s v="Low rating"/>
    <x v="6"/>
  </r>
  <r>
    <s v="E147"/>
    <s v="Pooja"/>
    <s v="Marketing"/>
    <x v="1"/>
    <n v="44"/>
    <s v="2020-11-07"/>
    <m/>
    <n v="77633"/>
    <s v="No"/>
    <n v="3"/>
    <m/>
    <s v="Senior"/>
    <s v="Medium rating"/>
    <x v="7"/>
  </r>
  <r>
    <s v="E148"/>
    <s v="Neha"/>
    <s v="IT"/>
    <x v="0"/>
    <n v="45"/>
    <s v="2016-06-15"/>
    <m/>
    <n v="115149"/>
    <s v="No"/>
    <n v="5"/>
    <m/>
    <s v="Senior"/>
    <s v="High rating"/>
    <x v="0"/>
  </r>
  <r>
    <s v="E149"/>
    <s v="Priya"/>
    <s v="HR"/>
    <x v="1"/>
    <n v="44"/>
    <s v="2023-01-21"/>
    <s v="2025-09-23"/>
    <n v="75410"/>
    <s v="Yes"/>
    <n v="3"/>
    <n v="2.6739726027397261"/>
    <s v="Senior"/>
    <s v="Medium rating"/>
    <x v="8"/>
  </r>
  <r>
    <s v="E150"/>
    <s v="Priya"/>
    <s v="Finance"/>
    <x v="1"/>
    <n v="38"/>
    <s v="2020-02-23"/>
    <m/>
    <n v="119343"/>
    <s v="No"/>
    <n v="5"/>
    <m/>
    <s v="Menior"/>
    <s v="High rating"/>
    <x v="7"/>
  </r>
  <r>
    <s v="E151"/>
    <s v="Arjun"/>
    <s v="HR"/>
    <x v="1"/>
    <n v="49"/>
    <s v="2021-10-31"/>
    <s v="2025-11-07"/>
    <n v="61700"/>
    <s v="Yes"/>
    <n v="5"/>
    <n v="4.021917808219178"/>
    <s v="Senior"/>
    <s v="High rating"/>
    <x v="5"/>
  </r>
  <r>
    <s v="E152"/>
    <s v="Rohit"/>
    <s v="Finance"/>
    <x v="0"/>
    <n v="43"/>
    <s v="2022-07-10"/>
    <s v="2024-12-29"/>
    <n v="57100"/>
    <s v="Yes"/>
    <n v="2"/>
    <n v="2.473972602739726"/>
    <s v="Senior"/>
    <s v="Low rating"/>
    <x v="6"/>
  </r>
  <r>
    <s v="E153"/>
    <s v="Karan"/>
    <s v="Finance"/>
    <x v="1"/>
    <n v="40"/>
    <s v="2022-11-09"/>
    <m/>
    <n v="111204"/>
    <s v="No"/>
    <n v="4"/>
    <m/>
    <s v="Senior"/>
    <s v="Medium rating"/>
    <x v="6"/>
  </r>
  <r>
    <s v="E154"/>
    <s v="Priya"/>
    <s v="Sales"/>
    <x v="0"/>
    <n v="27"/>
    <s v="2019-10-21"/>
    <m/>
    <n v="58788"/>
    <s v="No"/>
    <n v="4"/>
    <m/>
    <s v="Fresher"/>
    <s v="Medium rating"/>
    <x v="4"/>
  </r>
  <r>
    <s v="E155"/>
    <s v="Amit"/>
    <s v="Sales"/>
    <x v="0"/>
    <n v="30"/>
    <s v="2022-06-27"/>
    <s v="2025-04-15"/>
    <n v="63060"/>
    <s v="Yes"/>
    <n v="1"/>
    <n v="2.8027397260273972"/>
    <s v="Menior"/>
    <s v="Low rating"/>
    <x v="6"/>
  </r>
  <r>
    <s v="E156"/>
    <s v="Rohit"/>
    <s v="IT"/>
    <x v="1"/>
    <n v="40"/>
    <s v="2021-09-17"/>
    <s v="2022-11-12"/>
    <n v="38348"/>
    <s v="Yes"/>
    <n v="3"/>
    <n v="1.1534246575342466"/>
    <s v="Senior"/>
    <s v="Medium rating"/>
    <x v="5"/>
  </r>
  <r>
    <s v="E157"/>
    <s v="Anjali"/>
    <s v="HR"/>
    <x v="0"/>
    <n v="35"/>
    <s v="2019-12-07"/>
    <s v="2021-03-23"/>
    <n v="90638"/>
    <s v="Yes"/>
    <n v="1"/>
    <n v="1.2931506849315069"/>
    <s v="Menior"/>
    <s v="Low rating"/>
    <x v="4"/>
  </r>
  <r>
    <s v="E158"/>
    <s v="Pooja"/>
    <s v="Sales"/>
    <x v="1"/>
    <n v="50"/>
    <s v="2016-05-18"/>
    <m/>
    <n v="36701"/>
    <s v="No"/>
    <n v="4"/>
    <m/>
    <s v="Senior"/>
    <s v="Medium rating"/>
    <x v="0"/>
  </r>
  <r>
    <s v="E159"/>
    <s v="Arjun"/>
    <s v="Sales"/>
    <x v="1"/>
    <n v="49"/>
    <s v="2017-06-30"/>
    <m/>
    <n v="52065"/>
    <s v="No"/>
    <n v="1"/>
    <m/>
    <s v="Senior"/>
    <s v="Low rating"/>
    <x v="3"/>
  </r>
  <r>
    <s v="E160"/>
    <s v="Karan"/>
    <s v="Marketing"/>
    <x v="0"/>
    <n v="33"/>
    <s v="2022-06-18"/>
    <m/>
    <n v="103450"/>
    <s v="No"/>
    <n v="2"/>
    <m/>
    <s v="Menior"/>
    <s v="Low rating"/>
    <x v="6"/>
  </r>
  <r>
    <s v="E161"/>
    <s v="Priya"/>
    <s v="IT"/>
    <x v="0"/>
    <n v="38"/>
    <s v="2015-08-19"/>
    <m/>
    <n v="76465"/>
    <s v="No"/>
    <n v="4"/>
    <m/>
    <s v="Menior"/>
    <s v="Medium rating"/>
    <x v="2"/>
  </r>
  <r>
    <s v="E162"/>
    <s v="Pooja"/>
    <s v="HR"/>
    <x v="0"/>
    <n v="44"/>
    <s v="2016-10-31"/>
    <s v="2020-01-10"/>
    <n v="98695"/>
    <s v="Yes"/>
    <n v="1"/>
    <n v="3.1945205479452055"/>
    <s v="Senior"/>
    <s v="Low rating"/>
    <x v="0"/>
  </r>
  <r>
    <s v="E163"/>
    <s v="Rohit"/>
    <s v="HR"/>
    <x v="1"/>
    <n v="42"/>
    <s v="2016-03-25"/>
    <s v="2019-09-21"/>
    <n v="99585"/>
    <s v="Yes"/>
    <n v="4"/>
    <n v="3.493150684931507"/>
    <s v="Senior"/>
    <s v="Medium rating"/>
    <x v="0"/>
  </r>
  <r>
    <s v="E164"/>
    <s v="Rahul"/>
    <s v="Marketing"/>
    <x v="0"/>
    <n v="46"/>
    <s v="2021-03-30"/>
    <m/>
    <n v="94894"/>
    <s v="No"/>
    <n v="1"/>
    <m/>
    <s v="Senior"/>
    <s v="Low rating"/>
    <x v="5"/>
  </r>
  <r>
    <s v="E165"/>
    <s v="Neha"/>
    <s v="Marketing"/>
    <x v="0"/>
    <n v="38"/>
    <s v="2017-01-29"/>
    <m/>
    <n v="30795"/>
    <s v="No"/>
    <n v="4"/>
    <m/>
    <s v="Menior"/>
    <s v="Medium rating"/>
    <x v="3"/>
  </r>
  <r>
    <s v="E166"/>
    <s v="Rahul"/>
    <s v="Sales"/>
    <x v="1"/>
    <n v="45"/>
    <s v="2020-02-27"/>
    <m/>
    <n v="79361"/>
    <s v="No"/>
    <n v="5"/>
    <m/>
    <s v="Senior"/>
    <s v="High rating"/>
    <x v="7"/>
  </r>
  <r>
    <s v="E167"/>
    <s v="Arjun"/>
    <s v="Finance"/>
    <x v="1"/>
    <n v="42"/>
    <s v="2021-03-21"/>
    <s v="2024-10-29"/>
    <n v="109725"/>
    <s v="Yes"/>
    <n v="2"/>
    <n v="3.6109589041095891"/>
    <s v="Senior"/>
    <s v="Low rating"/>
    <x v="5"/>
  </r>
  <r>
    <s v="E168"/>
    <s v="Amit"/>
    <s v="Sales"/>
    <x v="1"/>
    <n v="25"/>
    <s v="2022-07-14"/>
    <s v="2024-03-14"/>
    <n v="94622"/>
    <s v="Yes"/>
    <n v="4"/>
    <n v="1.6684931506849314"/>
    <s v="Fresher"/>
    <s v="Medium rating"/>
    <x v="6"/>
  </r>
  <r>
    <s v="E169"/>
    <s v="Neha"/>
    <s v="HR"/>
    <x v="1"/>
    <n v="25"/>
    <s v="2019-11-01"/>
    <m/>
    <n v="62641"/>
    <s v="No"/>
    <n v="4"/>
    <m/>
    <s v="Fresher"/>
    <s v="Medium rating"/>
    <x v="4"/>
  </r>
  <r>
    <s v="E170"/>
    <s v="Neha"/>
    <s v="IT"/>
    <x v="0"/>
    <n v="23"/>
    <s v="2015-01-15"/>
    <s v="2016-08-02"/>
    <n v="58647"/>
    <s v="Yes"/>
    <n v="3"/>
    <n v="1.547945205479452"/>
    <s v="Fresher"/>
    <s v="Medium rating"/>
    <x v="2"/>
  </r>
  <r>
    <s v="E171"/>
    <s v="Arjun"/>
    <s v="HR"/>
    <x v="1"/>
    <n v="43"/>
    <s v="2022-05-19"/>
    <s v="2025-02-06"/>
    <n v="28220"/>
    <s v="Yes"/>
    <n v="1"/>
    <n v="2.7232876712328768"/>
    <s v="Senior"/>
    <s v="Low rating"/>
    <x v="6"/>
  </r>
  <r>
    <s v="E172"/>
    <s v="Priya"/>
    <s v="IT"/>
    <x v="0"/>
    <n v="41"/>
    <s v="2020-11-27"/>
    <m/>
    <n v="41042"/>
    <s v="No"/>
    <n v="2"/>
    <m/>
    <s v="Senior"/>
    <s v="Low rating"/>
    <x v="7"/>
  </r>
  <r>
    <s v="E173"/>
    <s v="Rohit"/>
    <s v="Marketing"/>
    <x v="1"/>
    <n v="29"/>
    <s v="2016-10-16"/>
    <s v="2017-06-19"/>
    <n v="35678"/>
    <s v="Yes"/>
    <n v="3"/>
    <n v="0.67397260273972603"/>
    <s v="Fresher"/>
    <s v="Medium rating"/>
    <x v="0"/>
  </r>
  <r>
    <s v="E174"/>
    <s v="Arjun"/>
    <s v="HR"/>
    <x v="0"/>
    <n v="46"/>
    <s v="2016-09-06"/>
    <s v="2019-05-23"/>
    <n v="92625"/>
    <s v="Yes"/>
    <n v="2"/>
    <n v="2.7095890410958905"/>
    <s v="Senior"/>
    <s v="Low rating"/>
    <x v="0"/>
  </r>
  <r>
    <s v="E175"/>
    <s v="Arjun"/>
    <s v="Sales"/>
    <x v="0"/>
    <n v="32"/>
    <s v="2019-06-04"/>
    <m/>
    <n v="78034"/>
    <s v="No"/>
    <n v="2"/>
    <m/>
    <s v="Menior"/>
    <s v="Low rating"/>
    <x v="4"/>
  </r>
  <r>
    <s v="E176"/>
    <s v="Sneha"/>
    <s v="Marketing"/>
    <x v="0"/>
    <n v="34"/>
    <s v="2021-08-03"/>
    <s v="2024-05-30"/>
    <n v="58991"/>
    <s v="Yes"/>
    <n v="5"/>
    <n v="2.8246575342465752"/>
    <s v="Menior"/>
    <s v="High rating"/>
    <x v="5"/>
  </r>
  <r>
    <s v="E177"/>
    <s v="Rohit"/>
    <s v="Finance"/>
    <x v="1"/>
    <n v="32"/>
    <s v="2020-11-28"/>
    <m/>
    <n v="30171"/>
    <s v="No"/>
    <n v="2"/>
    <m/>
    <s v="Menior"/>
    <s v="Low rating"/>
    <x v="7"/>
  </r>
  <r>
    <s v="E178"/>
    <s v="Sneha"/>
    <s v="Finance"/>
    <x v="1"/>
    <n v="49"/>
    <s v="2021-07-07"/>
    <m/>
    <n v="34665"/>
    <s v="No"/>
    <n v="5"/>
    <m/>
    <s v="Senior"/>
    <s v="High rating"/>
    <x v="5"/>
  </r>
  <r>
    <s v="E179"/>
    <s v="Rahul"/>
    <s v="Marketing"/>
    <x v="1"/>
    <n v="27"/>
    <s v="2020-12-23"/>
    <s v="2023-06-11"/>
    <n v="110412"/>
    <s v="Yes"/>
    <n v="1"/>
    <n v="2.4657534246575343"/>
    <s v="Fresher"/>
    <s v="Low rating"/>
    <x v="7"/>
  </r>
  <r>
    <s v="E180"/>
    <s v="Arjun"/>
    <s v="Sales"/>
    <x v="1"/>
    <n v="27"/>
    <s v="2020-10-16"/>
    <m/>
    <n v="117480"/>
    <s v="No"/>
    <n v="4"/>
    <m/>
    <s v="Fresher"/>
    <s v="Medium rating"/>
    <x v="7"/>
  </r>
  <r>
    <s v="E181"/>
    <s v="Anjali"/>
    <s v="HR"/>
    <x v="0"/>
    <n v="40"/>
    <s v="2020-08-17"/>
    <m/>
    <n v="109293"/>
    <s v="No"/>
    <n v="3"/>
    <m/>
    <s v="Senior"/>
    <s v="Medium rating"/>
    <x v="7"/>
  </r>
  <r>
    <s v="E182"/>
    <s v="Arjun"/>
    <s v="Sales"/>
    <x v="1"/>
    <n v="28"/>
    <s v="2015-04-06"/>
    <m/>
    <n v="64024"/>
    <s v="No"/>
    <n v="5"/>
    <m/>
    <s v="Fresher"/>
    <s v="High rating"/>
    <x v="2"/>
  </r>
  <r>
    <s v="E183"/>
    <s v="Rohit"/>
    <s v="Sales"/>
    <x v="0"/>
    <n v="31"/>
    <s v="2017-12-06"/>
    <m/>
    <n v="76015"/>
    <s v="No"/>
    <n v="1"/>
    <m/>
    <s v="Menior"/>
    <s v="Low rating"/>
    <x v="3"/>
  </r>
  <r>
    <s v="E184"/>
    <s v="Arjun"/>
    <s v="Marketing"/>
    <x v="1"/>
    <n v="43"/>
    <s v="2017-08-02"/>
    <m/>
    <n v="34201"/>
    <s v="No"/>
    <n v="2"/>
    <m/>
    <s v="Senior"/>
    <s v="Low rating"/>
    <x v="3"/>
  </r>
  <r>
    <s v="E185"/>
    <s v="Karan"/>
    <s v="Marketing"/>
    <x v="0"/>
    <n v="33"/>
    <s v="2020-07-05"/>
    <m/>
    <n v="111740"/>
    <s v="No"/>
    <n v="5"/>
    <m/>
    <s v="Menior"/>
    <s v="High rating"/>
    <x v="7"/>
  </r>
  <r>
    <s v="E186"/>
    <s v="Pooja"/>
    <s v="Marketing"/>
    <x v="0"/>
    <n v="31"/>
    <s v="2017-07-02"/>
    <m/>
    <n v="81992"/>
    <s v="No"/>
    <n v="4"/>
    <m/>
    <s v="Menior"/>
    <s v="Medium rating"/>
    <x v="3"/>
  </r>
  <r>
    <s v="E187"/>
    <s v="Karan"/>
    <s v="HR"/>
    <x v="0"/>
    <n v="29"/>
    <s v="2020-08-04"/>
    <m/>
    <n v="115906"/>
    <s v="No"/>
    <n v="1"/>
    <m/>
    <s v="Fresher"/>
    <s v="Low rating"/>
    <x v="7"/>
  </r>
  <r>
    <s v="E188"/>
    <s v="Amit"/>
    <s v="Finance"/>
    <x v="1"/>
    <n v="42"/>
    <s v="2020-02-17"/>
    <m/>
    <n v="118088"/>
    <s v="No"/>
    <n v="2"/>
    <m/>
    <s v="Senior"/>
    <s v="Low rating"/>
    <x v="7"/>
  </r>
  <r>
    <s v="E189"/>
    <s v="Neha"/>
    <s v="IT"/>
    <x v="0"/>
    <n v="48"/>
    <s v="2021-04-14"/>
    <s v="2023-06-05"/>
    <n v="95506"/>
    <s v="Yes"/>
    <n v="3"/>
    <n v="2.1424657534246574"/>
    <s v="Senior"/>
    <s v="Medium rating"/>
    <x v="5"/>
  </r>
  <r>
    <s v="E190"/>
    <s v="Amit"/>
    <s v="Sales"/>
    <x v="1"/>
    <n v="43"/>
    <s v="2016-12-03"/>
    <s v="2017-01-13"/>
    <n v="107671"/>
    <s v="Yes"/>
    <n v="5"/>
    <n v="0.11232876712328767"/>
    <s v="Senior"/>
    <s v="High rating"/>
    <x v="0"/>
  </r>
  <r>
    <s v="E191"/>
    <s v="Sneha"/>
    <s v="Marketing"/>
    <x v="0"/>
    <n v="31"/>
    <s v="2016-04-02"/>
    <s v="2018-12-28"/>
    <n v="74959"/>
    <s v="Yes"/>
    <n v="1"/>
    <n v="2.7397260273972601"/>
    <s v="Menior"/>
    <s v="Low rating"/>
    <x v="0"/>
  </r>
  <r>
    <s v="E192"/>
    <s v="Pooja"/>
    <s v="Sales"/>
    <x v="0"/>
    <n v="46"/>
    <s v="2020-04-24"/>
    <m/>
    <n v="44203"/>
    <s v="No"/>
    <n v="4"/>
    <m/>
    <s v="Senior"/>
    <s v="Medium rating"/>
    <x v="7"/>
  </r>
  <r>
    <s v="E193"/>
    <s v="Amit"/>
    <s v="Finance"/>
    <x v="1"/>
    <n v="47"/>
    <s v="2022-09-13"/>
    <m/>
    <n v="118954"/>
    <s v="No"/>
    <n v="2"/>
    <m/>
    <s v="Senior"/>
    <s v="Low rating"/>
    <x v="6"/>
  </r>
  <r>
    <s v="E194"/>
    <s v="Karan"/>
    <s v="IT"/>
    <x v="0"/>
    <n v="25"/>
    <s v="2021-03-22"/>
    <s v="2023-11-16"/>
    <n v="78614"/>
    <s v="Yes"/>
    <n v="5"/>
    <n v="2.6547945205479451"/>
    <s v="Fresher"/>
    <s v="High rating"/>
    <x v="5"/>
  </r>
  <r>
    <s v="E195"/>
    <s v="Sneha"/>
    <s v="HR"/>
    <x v="0"/>
    <n v="42"/>
    <s v="2017-12-07"/>
    <s v="2018-04-03"/>
    <n v="70986"/>
    <s v="Yes"/>
    <n v="4"/>
    <n v="0.32054794520547947"/>
    <s v="Senior"/>
    <s v="Medium rating"/>
    <x v="3"/>
  </r>
  <r>
    <s v="E196"/>
    <s v="Rahul"/>
    <s v="Finance"/>
    <x v="0"/>
    <n v="48"/>
    <s v="2017-04-24"/>
    <m/>
    <n v="84885"/>
    <s v="No"/>
    <n v="4"/>
    <m/>
    <s v="Senior"/>
    <s v="Medium rating"/>
    <x v="3"/>
  </r>
  <r>
    <s v="E197"/>
    <s v="Pooja"/>
    <s v="Finance"/>
    <x v="1"/>
    <n v="44"/>
    <s v="2018-01-01"/>
    <m/>
    <n v="42401"/>
    <s v="No"/>
    <n v="3"/>
    <m/>
    <s v="Senior"/>
    <s v="Medium rating"/>
    <x v="1"/>
  </r>
  <r>
    <s v="E198"/>
    <s v="Rohit"/>
    <s v="HR"/>
    <x v="1"/>
    <n v="29"/>
    <s v="2017-09-01"/>
    <m/>
    <n v="42824"/>
    <s v="No"/>
    <n v="2"/>
    <m/>
    <s v="Fresher"/>
    <s v="Low rating"/>
    <x v="3"/>
  </r>
  <r>
    <s v="E199"/>
    <s v="Arjun"/>
    <s v="HR"/>
    <x v="1"/>
    <n v="37"/>
    <s v="2016-04-23"/>
    <s v="2019-08-19"/>
    <n v="70664"/>
    <s v="Yes"/>
    <n v="1"/>
    <n v="3.3232876712328765"/>
    <s v="Menior"/>
    <s v="Low rating"/>
    <x v="0"/>
  </r>
  <r>
    <s v="E200"/>
    <s v="Rahul"/>
    <s v="IT"/>
    <x v="0"/>
    <n v="34"/>
    <s v="2018-04-13"/>
    <s v="2020-11-01"/>
    <n v="111564"/>
    <s v="Yes"/>
    <n v="1"/>
    <n v="2.5561643835616437"/>
    <s v="Menior"/>
    <s v="Low rating"/>
    <x v="1"/>
  </r>
  <r>
    <s v="E201"/>
    <s v="Neha"/>
    <s v="HR"/>
    <x v="0"/>
    <n v="34"/>
    <s v="2020-02-11"/>
    <m/>
    <n v="33083"/>
    <s v="No"/>
    <n v="2"/>
    <m/>
    <s v="Menior"/>
    <s v="Low rating"/>
    <x v="7"/>
  </r>
  <r>
    <s v="E202"/>
    <s v="Karan"/>
    <s v="IT"/>
    <x v="0"/>
    <n v="25"/>
    <s v="2018-11-24"/>
    <s v="2021-12-16"/>
    <n v="33603"/>
    <s v="Yes"/>
    <n v="4"/>
    <n v="3.0630136986301371"/>
    <s v="Fresher"/>
    <s v="Medium rating"/>
    <x v="1"/>
  </r>
  <r>
    <s v="E203"/>
    <s v="Priya"/>
    <s v="Marketing"/>
    <x v="1"/>
    <n v="46"/>
    <s v="2016-08-02"/>
    <s v="2017-08-07"/>
    <n v="38283"/>
    <s v="Yes"/>
    <n v="2"/>
    <n v="1.0136986301369864"/>
    <s v="Senior"/>
    <s v="Low rating"/>
    <x v="0"/>
  </r>
  <r>
    <s v="E204"/>
    <s v="Amit"/>
    <s v="IT"/>
    <x v="1"/>
    <n v="36"/>
    <s v="2018-03-30"/>
    <m/>
    <n v="34042"/>
    <s v="No"/>
    <n v="2"/>
    <m/>
    <s v="Menior"/>
    <s v="Low rating"/>
    <x v="1"/>
  </r>
  <r>
    <s v="E205"/>
    <s v="Karan"/>
    <s v="Finance"/>
    <x v="1"/>
    <n v="23"/>
    <s v="2019-12-15"/>
    <s v="2020-09-27"/>
    <n v="53494"/>
    <s v="Yes"/>
    <n v="2"/>
    <n v="0.78630136986301369"/>
    <s v="Fresher"/>
    <s v="Low rating"/>
    <x v="4"/>
  </r>
  <r>
    <s v="E206"/>
    <s v="Amit"/>
    <s v="Sales"/>
    <x v="1"/>
    <n v="36"/>
    <s v="2022-01-24"/>
    <m/>
    <n v="63281"/>
    <s v="No"/>
    <n v="2"/>
    <m/>
    <s v="Menior"/>
    <s v="Low rating"/>
    <x v="6"/>
  </r>
  <r>
    <s v="E207"/>
    <s v="Rahul"/>
    <s v="Marketing"/>
    <x v="0"/>
    <n v="45"/>
    <s v="2016-08-27"/>
    <s v="2018-07-29"/>
    <n v="112965"/>
    <s v="Yes"/>
    <n v="5"/>
    <n v="1.9205479452054794"/>
    <s v="Senior"/>
    <s v="High rating"/>
    <x v="0"/>
  </r>
  <r>
    <s v="E208"/>
    <s v="Pooja"/>
    <s v="HR"/>
    <x v="1"/>
    <n v="40"/>
    <s v="2023-02-20"/>
    <m/>
    <n v="39180"/>
    <s v="No"/>
    <n v="3"/>
    <m/>
    <s v="Senior"/>
    <s v="Medium rating"/>
    <x v="8"/>
  </r>
  <r>
    <s v="E209"/>
    <s v="Neha"/>
    <s v="Finance"/>
    <x v="1"/>
    <n v="44"/>
    <s v="2017-04-08"/>
    <s v="2019-06-04"/>
    <n v="106438"/>
    <s v="Yes"/>
    <n v="2"/>
    <n v="2.1561643835616437"/>
    <s v="Senior"/>
    <s v="Low rating"/>
    <x v="3"/>
  </r>
  <r>
    <s v="E210"/>
    <s v="Pooja"/>
    <s v="IT"/>
    <x v="1"/>
    <n v="46"/>
    <s v="2023-03-01"/>
    <s v="2025-07-22"/>
    <n v="114178"/>
    <s v="Yes"/>
    <n v="2"/>
    <n v="2.3945205479452056"/>
    <s v="Senior"/>
    <s v="Low rating"/>
    <x v="8"/>
  </r>
  <r>
    <s v="E211"/>
    <s v="Sneha"/>
    <s v="Sales"/>
    <x v="1"/>
    <n v="49"/>
    <s v="2020-08-21"/>
    <s v="2022-08-12"/>
    <n v="48666"/>
    <s v="Yes"/>
    <n v="4"/>
    <n v="1.9753424657534246"/>
    <s v="Senior"/>
    <s v="Medium rating"/>
    <x v="7"/>
  </r>
  <r>
    <s v="E212"/>
    <s v="Rohit"/>
    <s v="IT"/>
    <x v="0"/>
    <n v="48"/>
    <s v="2018-10-02"/>
    <m/>
    <n v="115115"/>
    <s v="No"/>
    <n v="3"/>
    <m/>
    <s v="Senior"/>
    <s v="Medium rating"/>
    <x v="1"/>
  </r>
  <r>
    <s v="E213"/>
    <s v="Anjali"/>
    <s v="Sales"/>
    <x v="0"/>
    <n v="37"/>
    <s v="2018-10-29"/>
    <m/>
    <n v="44789"/>
    <s v="No"/>
    <n v="5"/>
    <m/>
    <s v="Menior"/>
    <s v="High rating"/>
    <x v="1"/>
  </r>
  <r>
    <s v="E214"/>
    <s v="Pooja"/>
    <s v="Sales"/>
    <x v="1"/>
    <n v="42"/>
    <s v="2017-01-03"/>
    <s v="2020-01-27"/>
    <n v="34019"/>
    <s v="Yes"/>
    <n v="1"/>
    <n v="3.0657534246575344"/>
    <s v="Senior"/>
    <s v="Low rating"/>
    <x v="3"/>
  </r>
  <r>
    <s v="E215"/>
    <s v="Karan"/>
    <s v="IT"/>
    <x v="1"/>
    <n v="38"/>
    <s v="2020-07-27"/>
    <s v="2023-03-26"/>
    <n v="52467"/>
    <s v="Yes"/>
    <n v="2"/>
    <n v="2.6630136986301371"/>
    <s v="Menior"/>
    <s v="Low rating"/>
    <x v="7"/>
  </r>
  <r>
    <s v="E216"/>
    <s v="Karan"/>
    <s v="Finance"/>
    <x v="1"/>
    <n v="26"/>
    <s v="2021-02-19"/>
    <m/>
    <n v="35440"/>
    <s v="No"/>
    <n v="5"/>
    <m/>
    <s v="Fresher"/>
    <s v="High rating"/>
    <x v="5"/>
  </r>
  <r>
    <s v="E217"/>
    <s v="Karan"/>
    <s v="HR"/>
    <x v="0"/>
    <n v="32"/>
    <s v="2020-10-16"/>
    <s v="2022-01-15"/>
    <n v="33210"/>
    <s v="Yes"/>
    <n v="2"/>
    <n v="1.2493150684931507"/>
    <s v="Menior"/>
    <s v="Low rating"/>
    <x v="7"/>
  </r>
  <r>
    <s v="E218"/>
    <s v="Rohit"/>
    <s v="Marketing"/>
    <x v="0"/>
    <n v="32"/>
    <s v="2021-01-04"/>
    <s v="2024-08-24"/>
    <n v="88016"/>
    <s v="Yes"/>
    <n v="4"/>
    <n v="3.6383561643835618"/>
    <s v="Menior"/>
    <s v="Medium rating"/>
    <x v="5"/>
  </r>
  <r>
    <s v="E219"/>
    <s v="Neha"/>
    <s v="Sales"/>
    <x v="0"/>
    <n v="47"/>
    <s v="2020-08-14"/>
    <m/>
    <n v="37522"/>
    <s v="No"/>
    <n v="4"/>
    <m/>
    <s v="Senior"/>
    <s v="Medium rating"/>
    <x v="7"/>
  </r>
  <r>
    <s v="E220"/>
    <s v="Rahul"/>
    <s v="HR"/>
    <x v="1"/>
    <n v="38"/>
    <s v="2015-05-28"/>
    <m/>
    <n v="47782"/>
    <s v="No"/>
    <n v="1"/>
    <m/>
    <s v="Menior"/>
    <s v="Low rating"/>
    <x v="2"/>
  </r>
  <r>
    <s v="E221"/>
    <s v="Arjun"/>
    <s v="Sales"/>
    <x v="1"/>
    <n v="31"/>
    <s v="2021-03-29"/>
    <s v="2023-09-01"/>
    <n v="99327"/>
    <s v="Yes"/>
    <n v="1"/>
    <n v="2.4273972602739726"/>
    <s v="Menior"/>
    <s v="Low rating"/>
    <x v="5"/>
  </r>
  <r>
    <s v="E222"/>
    <s v="Sneha"/>
    <s v="Sales"/>
    <x v="1"/>
    <n v="26"/>
    <s v="2020-09-10"/>
    <s v="2022-06-29"/>
    <n v="49954"/>
    <s v="Yes"/>
    <n v="4"/>
    <n v="1.8"/>
    <s v="Fresher"/>
    <s v="Medium rating"/>
    <x v="7"/>
  </r>
  <r>
    <s v="E223"/>
    <s v="Anjali"/>
    <s v="Finance"/>
    <x v="0"/>
    <n v="35"/>
    <s v="2017-09-27"/>
    <m/>
    <n v="101559"/>
    <s v="No"/>
    <n v="1"/>
    <m/>
    <s v="Menior"/>
    <s v="Low rating"/>
    <x v="3"/>
  </r>
  <r>
    <s v="E224"/>
    <s v="Priya"/>
    <s v="Sales"/>
    <x v="1"/>
    <n v="30"/>
    <s v="2015-03-09"/>
    <m/>
    <n v="42688"/>
    <s v="No"/>
    <n v="2"/>
    <m/>
    <s v="Menior"/>
    <s v="Low rating"/>
    <x v="2"/>
  </r>
  <r>
    <s v="E225"/>
    <s v="Sneha"/>
    <s v="Marketing"/>
    <x v="1"/>
    <n v="48"/>
    <s v="2016-03-13"/>
    <s v="2018-09-24"/>
    <n v="56707"/>
    <s v="Yes"/>
    <n v="5"/>
    <n v="2.5342465753424657"/>
    <s v="Senior"/>
    <s v="High rating"/>
    <x v="0"/>
  </r>
  <r>
    <s v="E226"/>
    <s v="Anjali"/>
    <s v="Finance"/>
    <x v="1"/>
    <n v="25"/>
    <s v="2018-10-08"/>
    <s v="2020-04-10"/>
    <n v="112225"/>
    <s v="Yes"/>
    <n v="3"/>
    <n v="1.5068493150684932"/>
    <s v="Fresher"/>
    <s v="Medium rating"/>
    <x v="1"/>
  </r>
  <r>
    <s v="E227"/>
    <s v="Arjun"/>
    <s v="Sales"/>
    <x v="1"/>
    <n v="29"/>
    <s v="2022-11-29"/>
    <s v="2023-05-31"/>
    <n v="25421"/>
    <s v="Yes"/>
    <n v="2"/>
    <n v="0.50136986301369868"/>
    <s v="Fresher"/>
    <s v="Low rating"/>
    <x v="6"/>
  </r>
  <r>
    <s v="E228"/>
    <s v="Arjun"/>
    <s v="Sales"/>
    <x v="1"/>
    <n v="33"/>
    <s v="2023-02-27"/>
    <m/>
    <n v="26687"/>
    <s v="No"/>
    <n v="4"/>
    <m/>
    <s v="Menior"/>
    <s v="Medium rating"/>
    <x v="8"/>
  </r>
  <r>
    <s v="E229"/>
    <s v="Anjali"/>
    <s v="HR"/>
    <x v="0"/>
    <n v="29"/>
    <s v="2021-08-28"/>
    <m/>
    <n v="56668"/>
    <s v="No"/>
    <n v="3"/>
    <m/>
    <s v="Fresher"/>
    <s v="Medium rating"/>
    <x v="5"/>
  </r>
  <r>
    <s v="E230"/>
    <s v="Pooja"/>
    <s v="HR"/>
    <x v="1"/>
    <n v="46"/>
    <s v="2019-12-07"/>
    <m/>
    <n v="37127"/>
    <s v="No"/>
    <n v="4"/>
    <m/>
    <s v="Senior"/>
    <s v="Medium rating"/>
    <x v="4"/>
  </r>
  <r>
    <s v="E231"/>
    <s v="Anjali"/>
    <s v="Sales"/>
    <x v="1"/>
    <n v="24"/>
    <s v="2018-02-25"/>
    <s v="2021-04-10"/>
    <n v="101801"/>
    <s v="Yes"/>
    <n v="5"/>
    <n v="3.1232876712328768"/>
    <s v="Fresher"/>
    <s v="High rating"/>
    <x v="1"/>
  </r>
  <r>
    <s v="E232"/>
    <s v="Rahul"/>
    <s v="Sales"/>
    <x v="0"/>
    <n v="26"/>
    <s v="2020-09-27"/>
    <s v="2024-07-20"/>
    <n v="78924"/>
    <s v="Yes"/>
    <n v="2"/>
    <n v="3.8136986301369862"/>
    <s v="Fresher"/>
    <s v="Low rating"/>
    <x v="7"/>
  </r>
  <r>
    <s v="E233"/>
    <s v="Anjali"/>
    <s v="Marketing"/>
    <x v="1"/>
    <n v="33"/>
    <s v="2015-12-02"/>
    <s v="2016-12-02"/>
    <n v="107162"/>
    <s v="Yes"/>
    <n v="2"/>
    <n v="1.0027397260273974"/>
    <s v="Menior"/>
    <s v="Low rating"/>
    <x v="2"/>
  </r>
  <r>
    <s v="E234"/>
    <s v="Rahul"/>
    <s v="IT"/>
    <x v="0"/>
    <n v="27"/>
    <s v="2016-09-22"/>
    <s v="2018-07-10"/>
    <n v="108034"/>
    <s v="Yes"/>
    <n v="1"/>
    <n v="1.7972602739726027"/>
    <s v="Fresher"/>
    <s v="Low rating"/>
    <x v="0"/>
  </r>
  <r>
    <s v="E235"/>
    <s v="Pooja"/>
    <s v="IT"/>
    <x v="0"/>
    <n v="50"/>
    <s v="2016-12-07"/>
    <m/>
    <n v="71857"/>
    <s v="No"/>
    <n v="4"/>
    <m/>
    <s v="Senior"/>
    <s v="Medium rating"/>
    <x v="0"/>
  </r>
  <r>
    <s v="E236"/>
    <s v="Rohit"/>
    <s v="IT"/>
    <x v="0"/>
    <n v="30"/>
    <s v="2022-12-31"/>
    <s v="2027-01-21"/>
    <n v="26415"/>
    <s v="Yes"/>
    <n v="4"/>
    <n v="4.0602739726027401"/>
    <s v="Menior"/>
    <s v="Medium rating"/>
    <x v="6"/>
  </r>
  <r>
    <s v="E237"/>
    <s v="Arjun"/>
    <s v="Finance"/>
    <x v="1"/>
    <n v="38"/>
    <s v="2015-12-28"/>
    <s v="2019-06-10"/>
    <n v="114608"/>
    <s v="Yes"/>
    <n v="5"/>
    <n v="3.452054794520548"/>
    <s v="Menior"/>
    <s v="High rating"/>
    <x v="2"/>
  </r>
  <r>
    <s v="E238"/>
    <s v="Karan"/>
    <s v="IT"/>
    <x v="1"/>
    <n v="35"/>
    <s v="2017-12-02"/>
    <s v="2019-07-12"/>
    <n v="115200"/>
    <s v="Yes"/>
    <n v="5"/>
    <n v="1.6082191780821917"/>
    <s v="Menior"/>
    <s v="High rating"/>
    <x v="3"/>
  </r>
  <r>
    <s v="E239"/>
    <s v="Sneha"/>
    <s v="IT"/>
    <x v="0"/>
    <n v="36"/>
    <s v="2019-01-03"/>
    <m/>
    <n v="86188"/>
    <s v="No"/>
    <n v="3"/>
    <m/>
    <s v="Menior"/>
    <s v="Medium rating"/>
    <x v="4"/>
  </r>
  <r>
    <s v="E240"/>
    <s v="Sneha"/>
    <s v="HR"/>
    <x v="0"/>
    <n v="36"/>
    <s v="2019-08-25"/>
    <m/>
    <n v="40351"/>
    <s v="No"/>
    <n v="4"/>
    <m/>
    <s v="Menior"/>
    <s v="Medium rating"/>
    <x v="4"/>
  </r>
  <r>
    <s v="E241"/>
    <s v="Anjali"/>
    <s v="Marketing"/>
    <x v="1"/>
    <n v="23"/>
    <s v="2021-01-03"/>
    <s v="2022-08-14"/>
    <n v="80023"/>
    <s v="Yes"/>
    <n v="3"/>
    <n v="1.6109589041095891"/>
    <s v="Fresher"/>
    <s v="Medium rating"/>
    <x v="5"/>
  </r>
  <r>
    <s v="E242"/>
    <s v="Rahul"/>
    <s v="Marketing"/>
    <x v="0"/>
    <n v="31"/>
    <s v="2023-02-08"/>
    <s v="2026-02-14"/>
    <n v="53272"/>
    <s v="Yes"/>
    <n v="3"/>
    <n v="3.0191780821917806"/>
    <s v="Menior"/>
    <s v="Medium rating"/>
    <x v="8"/>
  </r>
  <r>
    <s v="E243"/>
    <s v="Sneha"/>
    <s v="Marketing"/>
    <x v="0"/>
    <n v="24"/>
    <s v="2015-10-29"/>
    <s v="2018-09-13"/>
    <n v="54136"/>
    <s v="Yes"/>
    <n v="1"/>
    <n v="2.8767123287671232"/>
    <s v="Fresher"/>
    <s v="Low rating"/>
    <x v="2"/>
  </r>
  <r>
    <s v="E244"/>
    <s v="Anjali"/>
    <s v="Sales"/>
    <x v="0"/>
    <n v="26"/>
    <s v="2017-05-11"/>
    <m/>
    <n v="119991"/>
    <s v="No"/>
    <n v="1"/>
    <m/>
    <s v="Fresher"/>
    <s v="Low rating"/>
    <x v="3"/>
  </r>
  <r>
    <s v="E245"/>
    <s v="Amit"/>
    <s v="Finance"/>
    <x v="0"/>
    <n v="38"/>
    <s v="2023-01-25"/>
    <m/>
    <n v="75543"/>
    <s v="No"/>
    <n v="3"/>
    <m/>
    <s v="Menior"/>
    <s v="Medium rating"/>
    <x v="8"/>
  </r>
  <r>
    <s v="E246"/>
    <s v="Amit"/>
    <s v="HR"/>
    <x v="0"/>
    <n v="39"/>
    <s v="2015-10-17"/>
    <m/>
    <n v="43870"/>
    <s v="No"/>
    <n v="5"/>
    <m/>
    <s v="Menior"/>
    <s v="High rating"/>
    <x v="2"/>
  </r>
  <r>
    <s v="E247"/>
    <s v="Neha"/>
    <s v="Finance"/>
    <x v="1"/>
    <n v="45"/>
    <s v="2022-03-22"/>
    <m/>
    <n v="118157"/>
    <s v="No"/>
    <n v="4"/>
    <m/>
    <s v="Senior"/>
    <s v="Medium rating"/>
    <x v="6"/>
  </r>
  <r>
    <s v="E248"/>
    <s v="Neha"/>
    <s v="Sales"/>
    <x v="0"/>
    <n v="24"/>
    <s v="2016-07-14"/>
    <s v="2019-08-27"/>
    <n v="28930"/>
    <s v="Yes"/>
    <n v="2"/>
    <n v="3.1205479452054794"/>
    <s v="Fresher"/>
    <s v="Low rating"/>
    <x v="0"/>
  </r>
  <r>
    <s v="E249"/>
    <s v="Rahul"/>
    <s v="Marketing"/>
    <x v="1"/>
    <n v="49"/>
    <s v="2015-05-06"/>
    <s v="2017-08-06"/>
    <n v="104818"/>
    <s v="Yes"/>
    <n v="3"/>
    <n v="2.2547945205479452"/>
    <s v="Senior"/>
    <s v="Medium rating"/>
    <x v="2"/>
  </r>
  <r>
    <s v="E250"/>
    <s v="Pooja"/>
    <s v="HR"/>
    <x v="1"/>
    <n v="25"/>
    <s v="2015-03-24"/>
    <s v="2017-10-12"/>
    <n v="31666"/>
    <s v="Yes"/>
    <n v="1"/>
    <n v="2.5561643835616437"/>
    <s v="Fresher"/>
    <s v="Low rating"/>
    <x v="2"/>
  </r>
  <r>
    <s v="E251"/>
    <s v="Rahul"/>
    <s v="HR"/>
    <x v="1"/>
    <n v="34"/>
    <s v="2018-11-28"/>
    <m/>
    <n v="73954"/>
    <s v="No"/>
    <n v="5"/>
    <m/>
    <s v="Menior"/>
    <s v="High rating"/>
    <x v="1"/>
  </r>
  <r>
    <s v="E252"/>
    <s v="Neha"/>
    <s v="Marketing"/>
    <x v="1"/>
    <n v="47"/>
    <s v="2018-02-12"/>
    <s v="2019-10-14"/>
    <n v="32176"/>
    <s v="Yes"/>
    <n v="1"/>
    <n v="1.6684931506849314"/>
    <s v="Senior"/>
    <s v="Low rating"/>
    <x v="1"/>
  </r>
  <r>
    <s v="E253"/>
    <s v="Priya"/>
    <s v="Sales"/>
    <x v="1"/>
    <n v="35"/>
    <s v="2022-09-28"/>
    <m/>
    <n v="102071"/>
    <s v="No"/>
    <n v="4"/>
    <m/>
    <s v="Menior"/>
    <s v="Medium rating"/>
    <x v="6"/>
  </r>
  <r>
    <s v="E254"/>
    <s v="Priya"/>
    <s v="Finance"/>
    <x v="1"/>
    <n v="40"/>
    <s v="2019-08-04"/>
    <s v="2020-09-25"/>
    <n v="28918"/>
    <s v="Yes"/>
    <n v="5"/>
    <n v="1.1452054794520548"/>
    <s v="Senior"/>
    <s v="High rating"/>
    <x v="4"/>
  </r>
  <r>
    <s v="E255"/>
    <s v="Pooja"/>
    <s v="Sales"/>
    <x v="0"/>
    <n v="33"/>
    <s v="2016-04-23"/>
    <s v="2019-05-08"/>
    <n v="48573"/>
    <s v="Yes"/>
    <n v="4"/>
    <n v="3.0410958904109591"/>
    <s v="Menior"/>
    <s v="Medium rating"/>
    <x v="0"/>
  </r>
  <r>
    <s v="E256"/>
    <s v="Pooja"/>
    <s v="Finance"/>
    <x v="1"/>
    <n v="30"/>
    <s v="2018-01-09"/>
    <m/>
    <n v="40817"/>
    <s v="No"/>
    <n v="5"/>
    <m/>
    <s v="Menior"/>
    <s v="High rating"/>
    <x v="1"/>
  </r>
  <r>
    <s v="E257"/>
    <s v="Arjun"/>
    <s v="Marketing"/>
    <x v="0"/>
    <n v="26"/>
    <s v="2020-01-07"/>
    <s v="2021-10-24"/>
    <n v="95453"/>
    <s v="Yes"/>
    <n v="2"/>
    <n v="1.7972602739726027"/>
    <s v="Fresher"/>
    <s v="Low rating"/>
    <x v="7"/>
  </r>
  <r>
    <s v="E258"/>
    <s v="Anjali"/>
    <s v="HR"/>
    <x v="1"/>
    <n v="40"/>
    <s v="2019-09-15"/>
    <s v="2020-09-30"/>
    <n v="39758"/>
    <s v="Yes"/>
    <n v="2"/>
    <n v="1.0438356164383562"/>
    <s v="Senior"/>
    <s v="Low rating"/>
    <x v="4"/>
  </r>
  <r>
    <s v="E259"/>
    <s v="Neha"/>
    <s v="IT"/>
    <x v="1"/>
    <n v="43"/>
    <s v="2018-10-24"/>
    <m/>
    <n v="116056"/>
    <s v="No"/>
    <n v="2"/>
    <m/>
    <s v="Senior"/>
    <s v="Low rating"/>
    <x v="1"/>
  </r>
  <r>
    <s v="E260"/>
    <s v="Rahul"/>
    <s v="HR"/>
    <x v="1"/>
    <n v="46"/>
    <s v="2016-04-07"/>
    <s v="2017-10-30"/>
    <n v="98914"/>
    <s v="Yes"/>
    <n v="5"/>
    <n v="1.5643835616438355"/>
    <s v="Senior"/>
    <s v="High rating"/>
    <x v="0"/>
  </r>
  <r>
    <s v="E261"/>
    <s v="Rohit"/>
    <s v="Sales"/>
    <x v="0"/>
    <n v="33"/>
    <s v="2018-05-23"/>
    <s v="2022-06-04"/>
    <n v="32507"/>
    <s v="Yes"/>
    <n v="4"/>
    <n v="4.0356164383561648"/>
    <s v="Menior"/>
    <s v="Medium rating"/>
    <x v="1"/>
  </r>
  <r>
    <s v="E262"/>
    <s v="Arjun"/>
    <s v="HR"/>
    <x v="0"/>
    <n v="40"/>
    <s v="2020-08-09"/>
    <s v="2024-02-14"/>
    <n v="101290"/>
    <s v="Yes"/>
    <n v="2"/>
    <n v="3.5178082191780824"/>
    <s v="Senior"/>
    <s v="Low rating"/>
    <x v="7"/>
  </r>
  <r>
    <s v="E263"/>
    <s v="Pooja"/>
    <s v="Finance"/>
    <x v="0"/>
    <n v="45"/>
    <s v="2016-04-27"/>
    <m/>
    <n v="27487"/>
    <s v="No"/>
    <n v="3"/>
    <m/>
    <s v="Senior"/>
    <s v="Medium rating"/>
    <x v="0"/>
  </r>
  <r>
    <s v="E264"/>
    <s v="Neha"/>
    <s v="IT"/>
    <x v="1"/>
    <n v="49"/>
    <s v="2018-04-13"/>
    <s v="2021-12-20"/>
    <n v="27633"/>
    <s v="Yes"/>
    <n v="4"/>
    <n v="3.6904109589041094"/>
    <s v="Senior"/>
    <s v="Medium rating"/>
    <x v="1"/>
  </r>
  <r>
    <s v="E265"/>
    <s v="Karan"/>
    <s v="Sales"/>
    <x v="1"/>
    <n v="40"/>
    <s v="2020-01-04"/>
    <s v="2020-12-16"/>
    <n v="40272"/>
    <s v="Yes"/>
    <n v="2"/>
    <n v="0.9506849315068493"/>
    <s v="Senior"/>
    <s v="Low rating"/>
    <x v="7"/>
  </r>
  <r>
    <s v="E266"/>
    <s v="Anjali"/>
    <s v="HR"/>
    <x v="1"/>
    <n v="34"/>
    <s v="2017-04-02"/>
    <s v="2020-07-11"/>
    <n v="92529"/>
    <s v="Yes"/>
    <n v="2"/>
    <n v="3.2767123287671232"/>
    <s v="Menior"/>
    <s v="Low rating"/>
    <x v="3"/>
  </r>
  <r>
    <s v="E267"/>
    <s v="Arjun"/>
    <s v="Sales"/>
    <x v="0"/>
    <n v="50"/>
    <s v="2016-01-10"/>
    <s v="2019-09-19"/>
    <n v="67213"/>
    <s v="Yes"/>
    <n v="1"/>
    <n v="3.6931506849315068"/>
    <s v="Senior"/>
    <s v="Low rating"/>
    <x v="0"/>
  </r>
  <r>
    <s v="E268"/>
    <s v="Pooja"/>
    <s v="HR"/>
    <x v="0"/>
    <n v="39"/>
    <s v="2023-02-13"/>
    <s v="2024-09-01"/>
    <n v="34575"/>
    <s v="Yes"/>
    <n v="2"/>
    <n v="1.5506849315068494"/>
    <s v="Menior"/>
    <s v="Low rating"/>
    <x v="8"/>
  </r>
  <r>
    <s v="E269"/>
    <s v="Neha"/>
    <s v="Finance"/>
    <x v="0"/>
    <n v="36"/>
    <s v="2019-07-31"/>
    <m/>
    <n v="54486"/>
    <s v="No"/>
    <n v="2"/>
    <m/>
    <s v="Menior"/>
    <s v="Low rating"/>
    <x v="4"/>
  </r>
  <r>
    <s v="E270"/>
    <s v="Arjun"/>
    <s v="Sales"/>
    <x v="0"/>
    <n v="24"/>
    <s v="2019-10-23"/>
    <m/>
    <n v="98984"/>
    <s v="No"/>
    <n v="4"/>
    <m/>
    <s v="Fresher"/>
    <s v="Medium rating"/>
    <x v="4"/>
  </r>
  <r>
    <s v="E271"/>
    <s v="Rahul"/>
    <s v="Finance"/>
    <x v="1"/>
    <n v="34"/>
    <s v="2022-07-17"/>
    <s v="2025-11-26"/>
    <n v="82493"/>
    <s v="Yes"/>
    <n v="5"/>
    <n v="3.3643835616438356"/>
    <s v="Menior"/>
    <s v="High rating"/>
    <x v="6"/>
  </r>
  <r>
    <s v="E272"/>
    <s v="Neha"/>
    <s v="Finance"/>
    <x v="1"/>
    <n v="35"/>
    <s v="2015-10-21"/>
    <s v="2017-08-05"/>
    <n v="80918"/>
    <s v="Yes"/>
    <n v="1"/>
    <n v="1.7917808219178082"/>
    <s v="Menior"/>
    <s v="Low rating"/>
    <x v="2"/>
  </r>
  <r>
    <s v="E273"/>
    <s v="Rahul"/>
    <s v="IT"/>
    <x v="0"/>
    <n v="44"/>
    <s v="2019-08-25"/>
    <s v="2023-07-07"/>
    <n v="81547"/>
    <s v="Yes"/>
    <n v="5"/>
    <n v="3.8684931506849316"/>
    <s v="Senior"/>
    <s v="High rating"/>
    <x v="4"/>
  </r>
  <r>
    <s v="E274"/>
    <s v="Neha"/>
    <s v="HR"/>
    <x v="1"/>
    <n v="23"/>
    <s v="2017-10-08"/>
    <s v="2018-11-28"/>
    <n v="54984"/>
    <s v="Yes"/>
    <n v="5"/>
    <n v="1.1397260273972603"/>
    <s v="Fresher"/>
    <s v="High rating"/>
    <x v="3"/>
  </r>
  <r>
    <s v="E275"/>
    <s v="Rahul"/>
    <s v="IT"/>
    <x v="1"/>
    <n v="39"/>
    <s v="2018-09-01"/>
    <s v="2019-01-10"/>
    <n v="76237"/>
    <s v="Yes"/>
    <n v="2"/>
    <n v="0.35890410958904112"/>
    <s v="Menior"/>
    <s v="Low rating"/>
    <x v="1"/>
  </r>
  <r>
    <s v="E276"/>
    <s v="Sneha"/>
    <s v="IT"/>
    <x v="0"/>
    <n v="30"/>
    <s v="2018-12-03"/>
    <m/>
    <n v="92324"/>
    <s v="No"/>
    <n v="2"/>
    <m/>
    <s v="Menior"/>
    <s v="Low rating"/>
    <x v="1"/>
  </r>
  <r>
    <s v="E277"/>
    <s v="Sneha"/>
    <s v="Finance"/>
    <x v="1"/>
    <n v="40"/>
    <s v="2021-07-21"/>
    <s v="2023-11-10"/>
    <n v="82778"/>
    <s v="Yes"/>
    <n v="5"/>
    <n v="2.3068493150684932"/>
    <s v="Senior"/>
    <s v="High rating"/>
    <x v="5"/>
  </r>
  <r>
    <s v="E278"/>
    <s v="Rohit"/>
    <s v="IT"/>
    <x v="0"/>
    <n v="37"/>
    <s v="2021-04-13"/>
    <s v="2022-08-10"/>
    <n v="69936"/>
    <s v="Yes"/>
    <n v="1"/>
    <n v="1.3260273972602741"/>
    <s v="Menior"/>
    <s v="Low rating"/>
    <x v="5"/>
  </r>
  <r>
    <s v="E279"/>
    <s v="Anjali"/>
    <s v="Sales"/>
    <x v="1"/>
    <n v="29"/>
    <s v="2017-04-03"/>
    <m/>
    <n v="44966"/>
    <s v="No"/>
    <n v="1"/>
    <m/>
    <s v="Fresher"/>
    <s v="Low rating"/>
    <x v="3"/>
  </r>
  <r>
    <s v="E280"/>
    <s v="Arjun"/>
    <s v="Finance"/>
    <x v="0"/>
    <n v="42"/>
    <s v="2017-10-28"/>
    <m/>
    <n v="48685"/>
    <s v="No"/>
    <n v="4"/>
    <m/>
    <s v="Senior"/>
    <s v="Medium rating"/>
    <x v="3"/>
  </r>
  <r>
    <s v="E281"/>
    <s v="Karan"/>
    <s v="Sales"/>
    <x v="0"/>
    <n v="33"/>
    <s v="2020-02-12"/>
    <m/>
    <n v="106001"/>
    <s v="No"/>
    <n v="1"/>
    <m/>
    <s v="Menior"/>
    <s v="Low rating"/>
    <x v="7"/>
  </r>
  <r>
    <s v="E282"/>
    <s v="Rahul"/>
    <s v="Sales"/>
    <x v="1"/>
    <n v="41"/>
    <s v="2018-12-06"/>
    <s v="2020-11-23"/>
    <n v="41525"/>
    <s v="Yes"/>
    <n v="2"/>
    <n v="1.9671232876712328"/>
    <s v="Senior"/>
    <s v="Low rating"/>
    <x v="1"/>
  </r>
  <r>
    <s v="E283"/>
    <s v="Arjun"/>
    <s v="IT"/>
    <x v="1"/>
    <n v="44"/>
    <s v="2022-08-06"/>
    <s v="2025-09-06"/>
    <n v="46166"/>
    <s v="Yes"/>
    <n v="2"/>
    <n v="3.0876712328767124"/>
    <s v="Senior"/>
    <s v="Low rating"/>
    <x v="6"/>
  </r>
  <r>
    <s v="E284"/>
    <s v="Priya"/>
    <s v="Finance"/>
    <x v="0"/>
    <n v="36"/>
    <s v="2022-11-11"/>
    <m/>
    <n v="104193"/>
    <s v="No"/>
    <n v="5"/>
    <m/>
    <s v="Menior"/>
    <s v="High rating"/>
    <x v="6"/>
  </r>
  <r>
    <s v="E285"/>
    <s v="Sneha"/>
    <s v="Marketing"/>
    <x v="1"/>
    <n v="39"/>
    <s v="2020-11-05"/>
    <m/>
    <n v="98350"/>
    <s v="No"/>
    <n v="4"/>
    <m/>
    <s v="Menior"/>
    <s v="Medium rating"/>
    <x v="7"/>
  </r>
  <r>
    <s v="E286"/>
    <s v="Sneha"/>
    <s v="HR"/>
    <x v="1"/>
    <n v="33"/>
    <s v="2021-11-17"/>
    <s v="2022-03-08"/>
    <n v="63164"/>
    <s v="Yes"/>
    <n v="5"/>
    <n v="0.30410958904109592"/>
    <s v="Menior"/>
    <s v="High rating"/>
    <x v="5"/>
  </r>
  <r>
    <s v="E287"/>
    <s v="Arjun"/>
    <s v="Marketing"/>
    <x v="0"/>
    <n v="31"/>
    <s v="2019-08-02"/>
    <s v="2020-11-29"/>
    <n v="71819"/>
    <s v="Yes"/>
    <n v="2"/>
    <n v="1.3287671232876712"/>
    <s v="Menior"/>
    <s v="Low rating"/>
    <x v="4"/>
  </r>
  <r>
    <s v="E288"/>
    <s v="Pooja"/>
    <s v="HR"/>
    <x v="1"/>
    <n v="30"/>
    <s v="2019-04-01"/>
    <m/>
    <n v="92575"/>
    <s v="No"/>
    <n v="3"/>
    <m/>
    <s v="Menior"/>
    <s v="Medium rating"/>
    <x v="4"/>
  </r>
  <r>
    <s v="E289"/>
    <s v="Rohit"/>
    <s v="HR"/>
    <x v="0"/>
    <n v="32"/>
    <s v="2021-07-24"/>
    <s v="2024-06-04"/>
    <n v="87256"/>
    <s v="Yes"/>
    <n v="1"/>
    <n v="2.8657534246575342"/>
    <s v="Menior"/>
    <s v="Low rating"/>
    <x v="5"/>
  </r>
  <r>
    <s v="E290"/>
    <s v="Amit"/>
    <s v="Marketing"/>
    <x v="1"/>
    <n v="28"/>
    <s v="2015-05-27"/>
    <m/>
    <n v="109542"/>
    <s v="No"/>
    <n v="4"/>
    <m/>
    <s v="Fresher"/>
    <s v="Medium rating"/>
    <x v="2"/>
  </r>
  <r>
    <s v="E291"/>
    <s v="Rahul"/>
    <s v="IT"/>
    <x v="1"/>
    <n v="45"/>
    <s v="2017-05-04"/>
    <s v="2017-07-30"/>
    <n v="116779"/>
    <s v="Yes"/>
    <n v="4"/>
    <n v="0.23835616438356164"/>
    <s v="Senior"/>
    <s v="Medium rating"/>
    <x v="3"/>
  </r>
  <r>
    <s v="E292"/>
    <s v="Sneha"/>
    <s v="Finance"/>
    <x v="1"/>
    <n v="46"/>
    <s v="2021-03-05"/>
    <s v="2022-06-09"/>
    <n v="61909"/>
    <s v="Yes"/>
    <n v="4"/>
    <n v="1.263013698630137"/>
    <s v="Senior"/>
    <s v="Medium rating"/>
    <x v="5"/>
  </r>
  <r>
    <s v="E293"/>
    <s v="Karan"/>
    <s v="Sales"/>
    <x v="1"/>
    <n v="33"/>
    <s v="2017-10-23"/>
    <s v="2018-09-23"/>
    <n v="116527"/>
    <s v="Yes"/>
    <n v="2"/>
    <n v="0.9178082191780822"/>
    <s v="Menior"/>
    <s v="Low rating"/>
    <x v="3"/>
  </r>
  <r>
    <s v="E294"/>
    <s v="Anjali"/>
    <s v="Sales"/>
    <x v="0"/>
    <n v="38"/>
    <s v="2019-03-20"/>
    <m/>
    <n v="99404"/>
    <s v="No"/>
    <n v="3"/>
    <m/>
    <s v="Menior"/>
    <s v="Medium rating"/>
    <x v="4"/>
  </r>
  <r>
    <s v="E295"/>
    <s v="Sneha"/>
    <s v="HR"/>
    <x v="1"/>
    <n v="32"/>
    <s v="2017-08-23"/>
    <s v="2018-10-01"/>
    <n v="35468"/>
    <s v="Yes"/>
    <n v="2"/>
    <n v="1.106849315068493"/>
    <s v="Menior"/>
    <s v="Low rating"/>
    <x v="3"/>
  </r>
  <r>
    <s v="E296"/>
    <s v="Arjun"/>
    <s v="Marketing"/>
    <x v="1"/>
    <n v="24"/>
    <s v="2015-05-23"/>
    <s v="2018-02-01"/>
    <n v="50952"/>
    <s v="Yes"/>
    <n v="5"/>
    <n v="2.6986301369863015"/>
    <s v="Fresher"/>
    <s v="High rating"/>
    <x v="2"/>
  </r>
  <r>
    <s v="E297"/>
    <s v="Neha"/>
    <s v="Sales"/>
    <x v="0"/>
    <n v="38"/>
    <s v="2020-06-03"/>
    <s v="2020-08-13"/>
    <n v="80741"/>
    <s v="Yes"/>
    <n v="5"/>
    <n v="0.19452054794520549"/>
    <s v="Menior"/>
    <s v="High rating"/>
    <x v="7"/>
  </r>
  <r>
    <s v="E298"/>
    <s v="Amit"/>
    <s v="HR"/>
    <x v="1"/>
    <n v="27"/>
    <s v="2020-01-31"/>
    <m/>
    <n v="74080"/>
    <s v="No"/>
    <n v="5"/>
    <m/>
    <s v="Fresher"/>
    <s v="High rating"/>
    <x v="7"/>
  </r>
  <r>
    <s v="E299"/>
    <s v="Sneha"/>
    <s v="IT"/>
    <x v="1"/>
    <n v="47"/>
    <s v="2021-03-23"/>
    <m/>
    <n v="46330"/>
    <s v="No"/>
    <n v="2"/>
    <m/>
    <s v="Senior"/>
    <s v="Low rating"/>
    <x v="5"/>
  </r>
  <r>
    <s v="E300"/>
    <s v="Rohit"/>
    <s v="IT"/>
    <x v="0"/>
    <n v="31"/>
    <s v="2016-11-23"/>
    <s v="2017-05-23"/>
    <n v="93176"/>
    <s v="Yes"/>
    <n v="4"/>
    <n v="0.49589041095890413"/>
    <s v="Menior"/>
    <s v="Medium rating"/>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29"/>
    <x v="0"/>
    <x v="0"/>
    <n v="113869"/>
    <x v="0"/>
    <n v="1"/>
    <n v="1.5287671232876712"/>
    <s v="Fresher"/>
    <s v="Low rating"/>
    <x v="0"/>
  </r>
  <r>
    <x v="1"/>
    <x v="1"/>
    <x v="1"/>
    <x v="1"/>
    <n v="42"/>
    <x v="1"/>
    <x v="1"/>
    <n v="31939"/>
    <x v="1"/>
    <n v="2"/>
    <m/>
    <s v="Senior"/>
    <s v="Low rating"/>
    <x v="1"/>
  </r>
  <r>
    <x v="2"/>
    <x v="1"/>
    <x v="2"/>
    <x v="1"/>
    <n v="28"/>
    <x v="2"/>
    <x v="1"/>
    <n v="85304"/>
    <x v="1"/>
    <n v="4"/>
    <m/>
    <s v="Fresher"/>
    <s v="Medium rating"/>
    <x v="1"/>
  </r>
  <r>
    <x v="3"/>
    <x v="0"/>
    <x v="3"/>
    <x v="1"/>
    <n v="23"/>
    <x v="3"/>
    <x v="2"/>
    <n v="26432"/>
    <x v="0"/>
    <n v="5"/>
    <n v="0.17808219178082191"/>
    <s v="Fresher"/>
    <s v="High rating"/>
    <x v="0"/>
  </r>
  <r>
    <x v="4"/>
    <x v="1"/>
    <x v="1"/>
    <x v="0"/>
    <n v="24"/>
    <x v="4"/>
    <x v="1"/>
    <n v="115816"/>
    <x v="1"/>
    <n v="2"/>
    <m/>
    <s v="Fresher"/>
    <s v="Low rating"/>
    <x v="1"/>
  </r>
  <r>
    <x v="5"/>
    <x v="2"/>
    <x v="4"/>
    <x v="1"/>
    <n v="27"/>
    <x v="5"/>
    <x v="1"/>
    <n v="73467"/>
    <x v="1"/>
    <n v="3"/>
    <m/>
    <s v="Fresher"/>
    <s v="Medium rating"/>
    <x v="1"/>
  </r>
  <r>
    <x v="6"/>
    <x v="3"/>
    <x v="1"/>
    <x v="1"/>
    <n v="35"/>
    <x v="6"/>
    <x v="1"/>
    <n v="30425"/>
    <x v="1"/>
    <n v="5"/>
    <m/>
    <s v="Menior"/>
    <s v="High rating"/>
    <x v="1"/>
  </r>
  <r>
    <x v="7"/>
    <x v="4"/>
    <x v="3"/>
    <x v="0"/>
    <n v="38"/>
    <x v="7"/>
    <x v="3"/>
    <n v="63115"/>
    <x v="0"/>
    <n v="3"/>
    <n v="1.2876712328767124"/>
    <s v="Menior"/>
    <s v="Medium rating"/>
    <x v="0"/>
  </r>
  <r>
    <x v="8"/>
    <x v="5"/>
    <x v="3"/>
    <x v="0"/>
    <n v="34"/>
    <x v="8"/>
    <x v="4"/>
    <n v="39535"/>
    <x v="0"/>
    <n v="3"/>
    <n v="0.50958904109589043"/>
    <s v="Menior"/>
    <s v="Medium rating"/>
    <x v="0"/>
  </r>
  <r>
    <x v="9"/>
    <x v="1"/>
    <x v="2"/>
    <x v="1"/>
    <n v="42"/>
    <x v="9"/>
    <x v="1"/>
    <n v="32003"/>
    <x v="1"/>
    <n v="2"/>
    <m/>
    <s v="Senior"/>
    <s v="Low rating"/>
    <x v="1"/>
  </r>
  <r>
    <x v="10"/>
    <x v="1"/>
    <x v="0"/>
    <x v="1"/>
    <n v="32"/>
    <x v="10"/>
    <x v="1"/>
    <n v="89966"/>
    <x v="1"/>
    <n v="4"/>
    <m/>
    <s v="Menior"/>
    <s v="Medium rating"/>
    <x v="1"/>
  </r>
  <r>
    <x v="11"/>
    <x v="6"/>
    <x v="0"/>
    <x v="1"/>
    <n v="27"/>
    <x v="11"/>
    <x v="1"/>
    <n v="76221"/>
    <x v="1"/>
    <n v="1"/>
    <m/>
    <s v="Fresher"/>
    <s v="Low rating"/>
    <x v="1"/>
  </r>
  <r>
    <x v="12"/>
    <x v="3"/>
    <x v="2"/>
    <x v="0"/>
    <n v="39"/>
    <x v="12"/>
    <x v="5"/>
    <n v="106904"/>
    <x v="0"/>
    <n v="4"/>
    <n v="3.4657534246575343"/>
    <s v="Menior"/>
    <s v="Medium rating"/>
    <x v="2"/>
  </r>
  <r>
    <x v="13"/>
    <x v="7"/>
    <x v="4"/>
    <x v="1"/>
    <n v="47"/>
    <x v="13"/>
    <x v="1"/>
    <n v="53650"/>
    <x v="1"/>
    <n v="3"/>
    <m/>
    <s v="Senior"/>
    <s v="Medium rating"/>
    <x v="1"/>
  </r>
  <r>
    <x v="14"/>
    <x v="1"/>
    <x v="1"/>
    <x v="1"/>
    <n v="23"/>
    <x v="14"/>
    <x v="6"/>
    <n v="75411"/>
    <x v="0"/>
    <n v="5"/>
    <n v="1.2438356164383562"/>
    <s v="Fresher"/>
    <s v="High rating"/>
    <x v="0"/>
  </r>
  <r>
    <x v="15"/>
    <x v="7"/>
    <x v="3"/>
    <x v="0"/>
    <n v="34"/>
    <x v="15"/>
    <x v="1"/>
    <n v="27620"/>
    <x v="1"/>
    <n v="2"/>
    <m/>
    <s v="Menior"/>
    <s v="Low rating"/>
    <x v="1"/>
  </r>
  <r>
    <x v="16"/>
    <x v="0"/>
    <x v="1"/>
    <x v="0"/>
    <n v="27"/>
    <x v="16"/>
    <x v="7"/>
    <n v="85021"/>
    <x v="0"/>
    <n v="5"/>
    <n v="3.106849315068493"/>
    <s v="Fresher"/>
    <s v="High rating"/>
    <x v="2"/>
  </r>
  <r>
    <x v="17"/>
    <x v="2"/>
    <x v="1"/>
    <x v="0"/>
    <n v="24"/>
    <x v="17"/>
    <x v="1"/>
    <n v="64693"/>
    <x v="1"/>
    <n v="3"/>
    <m/>
    <s v="Fresher"/>
    <s v="Medium rating"/>
    <x v="1"/>
  </r>
  <r>
    <x v="18"/>
    <x v="5"/>
    <x v="4"/>
    <x v="0"/>
    <n v="28"/>
    <x v="18"/>
    <x v="1"/>
    <n v="79717"/>
    <x v="1"/>
    <n v="1"/>
    <m/>
    <s v="Fresher"/>
    <s v="Low rating"/>
    <x v="1"/>
  </r>
  <r>
    <x v="19"/>
    <x v="8"/>
    <x v="4"/>
    <x v="1"/>
    <n v="31"/>
    <x v="19"/>
    <x v="1"/>
    <n v="71721"/>
    <x v="1"/>
    <n v="1"/>
    <m/>
    <s v="Menior"/>
    <s v="Low rating"/>
    <x v="1"/>
  </r>
  <r>
    <x v="20"/>
    <x v="5"/>
    <x v="1"/>
    <x v="1"/>
    <n v="45"/>
    <x v="20"/>
    <x v="1"/>
    <n v="84541"/>
    <x v="1"/>
    <n v="5"/>
    <m/>
    <s v="Senior"/>
    <s v="High rating"/>
    <x v="1"/>
  </r>
  <r>
    <x v="21"/>
    <x v="3"/>
    <x v="2"/>
    <x v="0"/>
    <n v="45"/>
    <x v="21"/>
    <x v="8"/>
    <n v="61842"/>
    <x v="0"/>
    <n v="4"/>
    <n v="3.3945205479452056"/>
    <s v="Senior"/>
    <s v="Medium rating"/>
    <x v="2"/>
  </r>
  <r>
    <x v="22"/>
    <x v="5"/>
    <x v="2"/>
    <x v="1"/>
    <n v="34"/>
    <x v="22"/>
    <x v="1"/>
    <n v="111621"/>
    <x v="1"/>
    <n v="1"/>
    <m/>
    <s v="Menior"/>
    <s v="Low rating"/>
    <x v="1"/>
  </r>
  <r>
    <x v="23"/>
    <x v="9"/>
    <x v="2"/>
    <x v="1"/>
    <n v="32"/>
    <x v="23"/>
    <x v="1"/>
    <n v="105303"/>
    <x v="1"/>
    <n v="5"/>
    <m/>
    <s v="Menior"/>
    <s v="High rating"/>
    <x v="1"/>
  </r>
  <r>
    <x v="24"/>
    <x v="0"/>
    <x v="2"/>
    <x v="1"/>
    <n v="42"/>
    <x v="24"/>
    <x v="1"/>
    <n v="26792"/>
    <x v="1"/>
    <n v="4"/>
    <m/>
    <s v="Senior"/>
    <s v="Medium rating"/>
    <x v="1"/>
  </r>
  <r>
    <x v="25"/>
    <x v="4"/>
    <x v="1"/>
    <x v="0"/>
    <n v="32"/>
    <x v="25"/>
    <x v="9"/>
    <n v="104077"/>
    <x v="0"/>
    <n v="2"/>
    <n v="0.72328767123287674"/>
    <s v="Menior"/>
    <s v="Low rating"/>
    <x v="0"/>
  </r>
  <r>
    <x v="26"/>
    <x v="2"/>
    <x v="4"/>
    <x v="0"/>
    <n v="43"/>
    <x v="26"/>
    <x v="10"/>
    <n v="114292"/>
    <x v="0"/>
    <n v="5"/>
    <n v="3.5945205479452054"/>
    <s v="Senior"/>
    <s v="High rating"/>
    <x v="2"/>
  </r>
  <r>
    <x v="27"/>
    <x v="3"/>
    <x v="3"/>
    <x v="1"/>
    <n v="29"/>
    <x v="27"/>
    <x v="11"/>
    <n v="40759"/>
    <x v="0"/>
    <n v="3"/>
    <n v="1.1315068493150684"/>
    <s v="Fresher"/>
    <s v="Medium rating"/>
    <x v="0"/>
  </r>
  <r>
    <x v="28"/>
    <x v="2"/>
    <x v="0"/>
    <x v="1"/>
    <n v="44"/>
    <x v="28"/>
    <x v="12"/>
    <n v="31521"/>
    <x v="0"/>
    <n v="3"/>
    <n v="0.9178082191780822"/>
    <s v="Senior"/>
    <s v="Medium rating"/>
    <x v="0"/>
  </r>
  <r>
    <x v="29"/>
    <x v="0"/>
    <x v="4"/>
    <x v="1"/>
    <n v="33"/>
    <x v="29"/>
    <x v="13"/>
    <n v="107269"/>
    <x v="0"/>
    <n v="5"/>
    <n v="1.2383561643835617"/>
    <s v="Menior"/>
    <s v="High rating"/>
    <x v="0"/>
  </r>
  <r>
    <x v="30"/>
    <x v="8"/>
    <x v="2"/>
    <x v="0"/>
    <n v="31"/>
    <x v="30"/>
    <x v="1"/>
    <n v="61604"/>
    <x v="1"/>
    <n v="1"/>
    <m/>
    <s v="Menior"/>
    <s v="Low rating"/>
    <x v="1"/>
  </r>
  <r>
    <x v="31"/>
    <x v="8"/>
    <x v="3"/>
    <x v="1"/>
    <n v="50"/>
    <x v="31"/>
    <x v="14"/>
    <n v="37265"/>
    <x v="0"/>
    <n v="2"/>
    <n v="0.79452054794520544"/>
    <s v="Senior"/>
    <s v="Low rating"/>
    <x v="0"/>
  </r>
  <r>
    <x v="32"/>
    <x v="1"/>
    <x v="2"/>
    <x v="1"/>
    <n v="48"/>
    <x v="32"/>
    <x v="15"/>
    <n v="49646"/>
    <x v="0"/>
    <n v="2"/>
    <n v="4.087671232876712"/>
    <s v="Senior"/>
    <s v="Low rating"/>
    <x v="2"/>
  </r>
  <r>
    <x v="33"/>
    <x v="8"/>
    <x v="0"/>
    <x v="0"/>
    <n v="45"/>
    <x v="33"/>
    <x v="1"/>
    <n v="119547"/>
    <x v="1"/>
    <n v="3"/>
    <m/>
    <s v="Senior"/>
    <s v="Medium rating"/>
    <x v="1"/>
  </r>
  <r>
    <x v="34"/>
    <x v="8"/>
    <x v="4"/>
    <x v="1"/>
    <n v="23"/>
    <x v="34"/>
    <x v="1"/>
    <n v="105756"/>
    <x v="1"/>
    <n v="5"/>
    <m/>
    <s v="Fresher"/>
    <s v="High rating"/>
    <x v="1"/>
  </r>
  <r>
    <x v="35"/>
    <x v="8"/>
    <x v="3"/>
    <x v="1"/>
    <n v="27"/>
    <x v="35"/>
    <x v="16"/>
    <n v="112463"/>
    <x v="0"/>
    <n v="1"/>
    <n v="2.8602739726027395"/>
    <s v="Fresher"/>
    <s v="Low rating"/>
    <x v="2"/>
  </r>
  <r>
    <x v="36"/>
    <x v="7"/>
    <x v="3"/>
    <x v="0"/>
    <n v="33"/>
    <x v="36"/>
    <x v="1"/>
    <n v="84623"/>
    <x v="1"/>
    <n v="5"/>
    <m/>
    <s v="Menior"/>
    <s v="High rating"/>
    <x v="1"/>
  </r>
  <r>
    <x v="37"/>
    <x v="2"/>
    <x v="3"/>
    <x v="1"/>
    <n v="44"/>
    <x v="37"/>
    <x v="1"/>
    <n v="30180"/>
    <x v="1"/>
    <n v="2"/>
    <m/>
    <s v="Senior"/>
    <s v="Low rating"/>
    <x v="1"/>
  </r>
  <r>
    <x v="38"/>
    <x v="5"/>
    <x v="0"/>
    <x v="1"/>
    <n v="46"/>
    <x v="38"/>
    <x v="1"/>
    <n v="119216"/>
    <x v="1"/>
    <n v="2"/>
    <m/>
    <s v="Senior"/>
    <s v="Low rating"/>
    <x v="1"/>
  </r>
  <r>
    <x v="39"/>
    <x v="5"/>
    <x v="2"/>
    <x v="1"/>
    <n v="47"/>
    <x v="39"/>
    <x v="1"/>
    <n v="30812"/>
    <x v="1"/>
    <n v="2"/>
    <m/>
    <s v="Senior"/>
    <s v="Low rating"/>
    <x v="1"/>
  </r>
  <r>
    <x v="40"/>
    <x v="4"/>
    <x v="2"/>
    <x v="1"/>
    <n v="33"/>
    <x v="40"/>
    <x v="17"/>
    <n v="26482"/>
    <x v="0"/>
    <n v="1"/>
    <n v="3.3698630136986303"/>
    <s v="Menior"/>
    <s v="Low rating"/>
    <x v="2"/>
  </r>
  <r>
    <x v="41"/>
    <x v="8"/>
    <x v="0"/>
    <x v="0"/>
    <n v="38"/>
    <x v="41"/>
    <x v="18"/>
    <n v="49555"/>
    <x v="0"/>
    <n v="4"/>
    <n v="3.9589041095890409"/>
    <s v="Menior"/>
    <s v="Medium rating"/>
    <x v="2"/>
  </r>
  <r>
    <x v="42"/>
    <x v="0"/>
    <x v="3"/>
    <x v="1"/>
    <n v="35"/>
    <x v="42"/>
    <x v="19"/>
    <n v="94252"/>
    <x v="0"/>
    <n v="4"/>
    <n v="3.2630136986301368"/>
    <s v="Menior"/>
    <s v="Medium rating"/>
    <x v="2"/>
  </r>
  <r>
    <x v="43"/>
    <x v="3"/>
    <x v="0"/>
    <x v="1"/>
    <n v="43"/>
    <x v="43"/>
    <x v="1"/>
    <n v="106408"/>
    <x v="1"/>
    <n v="3"/>
    <m/>
    <s v="Senior"/>
    <s v="Medium rating"/>
    <x v="1"/>
  </r>
  <r>
    <x v="44"/>
    <x v="1"/>
    <x v="0"/>
    <x v="1"/>
    <n v="29"/>
    <x v="44"/>
    <x v="1"/>
    <n v="81636"/>
    <x v="1"/>
    <n v="4"/>
    <m/>
    <s v="Fresher"/>
    <s v="Medium rating"/>
    <x v="1"/>
  </r>
  <r>
    <x v="45"/>
    <x v="6"/>
    <x v="1"/>
    <x v="0"/>
    <n v="46"/>
    <x v="45"/>
    <x v="1"/>
    <n v="105125"/>
    <x v="1"/>
    <n v="5"/>
    <m/>
    <s v="Senior"/>
    <s v="High rating"/>
    <x v="1"/>
  </r>
  <r>
    <x v="46"/>
    <x v="7"/>
    <x v="3"/>
    <x v="1"/>
    <n v="41"/>
    <x v="46"/>
    <x v="1"/>
    <n v="107233"/>
    <x v="1"/>
    <n v="2"/>
    <m/>
    <s v="Senior"/>
    <s v="Low rating"/>
    <x v="1"/>
  </r>
  <r>
    <x v="47"/>
    <x v="2"/>
    <x v="1"/>
    <x v="1"/>
    <n v="38"/>
    <x v="47"/>
    <x v="20"/>
    <n v="65116"/>
    <x v="0"/>
    <n v="2"/>
    <n v="3.9643835616438357"/>
    <s v="Menior"/>
    <s v="Low rating"/>
    <x v="2"/>
  </r>
  <r>
    <x v="48"/>
    <x v="4"/>
    <x v="4"/>
    <x v="0"/>
    <n v="31"/>
    <x v="48"/>
    <x v="1"/>
    <n v="61891"/>
    <x v="1"/>
    <n v="4"/>
    <m/>
    <s v="Menior"/>
    <s v="Medium rating"/>
    <x v="1"/>
  </r>
  <r>
    <x v="49"/>
    <x v="8"/>
    <x v="4"/>
    <x v="0"/>
    <n v="49"/>
    <x v="49"/>
    <x v="21"/>
    <n v="96032"/>
    <x v="0"/>
    <n v="4"/>
    <n v="2.0876712328767124"/>
    <s v="Senior"/>
    <s v="Medium rating"/>
    <x v="2"/>
  </r>
  <r>
    <x v="50"/>
    <x v="6"/>
    <x v="3"/>
    <x v="1"/>
    <n v="50"/>
    <x v="50"/>
    <x v="22"/>
    <n v="83689"/>
    <x v="0"/>
    <n v="2"/>
    <n v="0.18356164383561643"/>
    <s v="Senior"/>
    <s v="Low rating"/>
    <x v="0"/>
  </r>
  <r>
    <x v="51"/>
    <x v="3"/>
    <x v="0"/>
    <x v="1"/>
    <n v="47"/>
    <x v="51"/>
    <x v="23"/>
    <n v="118478"/>
    <x v="0"/>
    <n v="3"/>
    <n v="2.0657534246575344"/>
    <s v="Senior"/>
    <s v="Medium rating"/>
    <x v="2"/>
  </r>
  <r>
    <x v="52"/>
    <x v="5"/>
    <x v="1"/>
    <x v="0"/>
    <n v="47"/>
    <x v="52"/>
    <x v="1"/>
    <n v="55648"/>
    <x v="1"/>
    <n v="1"/>
    <m/>
    <s v="Senior"/>
    <s v="Low rating"/>
    <x v="1"/>
  </r>
  <r>
    <x v="53"/>
    <x v="2"/>
    <x v="0"/>
    <x v="1"/>
    <n v="34"/>
    <x v="53"/>
    <x v="1"/>
    <n v="77673"/>
    <x v="1"/>
    <n v="5"/>
    <m/>
    <s v="Menior"/>
    <s v="High rating"/>
    <x v="1"/>
  </r>
  <r>
    <x v="54"/>
    <x v="2"/>
    <x v="4"/>
    <x v="1"/>
    <n v="31"/>
    <x v="54"/>
    <x v="24"/>
    <n v="25816"/>
    <x v="0"/>
    <n v="2"/>
    <n v="2.1643835616438358"/>
    <s v="Menior"/>
    <s v="Low rating"/>
    <x v="2"/>
  </r>
  <r>
    <x v="55"/>
    <x v="6"/>
    <x v="0"/>
    <x v="0"/>
    <n v="38"/>
    <x v="55"/>
    <x v="1"/>
    <n v="93674"/>
    <x v="1"/>
    <n v="5"/>
    <m/>
    <s v="Menior"/>
    <s v="High rating"/>
    <x v="1"/>
  </r>
  <r>
    <x v="56"/>
    <x v="5"/>
    <x v="1"/>
    <x v="0"/>
    <n v="27"/>
    <x v="56"/>
    <x v="25"/>
    <n v="67247"/>
    <x v="0"/>
    <n v="5"/>
    <m/>
    <s v="Fresher"/>
    <s v="High rating"/>
    <x v="2"/>
  </r>
  <r>
    <x v="57"/>
    <x v="0"/>
    <x v="4"/>
    <x v="1"/>
    <n v="43"/>
    <x v="57"/>
    <x v="1"/>
    <n v="42624"/>
    <x v="1"/>
    <n v="4"/>
    <m/>
    <s v="Senior"/>
    <s v="Medium rating"/>
    <x v="1"/>
  </r>
  <r>
    <x v="58"/>
    <x v="6"/>
    <x v="3"/>
    <x v="0"/>
    <n v="47"/>
    <x v="58"/>
    <x v="26"/>
    <n v="25208"/>
    <x v="0"/>
    <n v="2"/>
    <n v="3.0767123287671234"/>
    <s v="Senior"/>
    <s v="Low rating"/>
    <x v="2"/>
  </r>
  <r>
    <x v="59"/>
    <x v="7"/>
    <x v="2"/>
    <x v="1"/>
    <n v="43"/>
    <x v="22"/>
    <x v="1"/>
    <n v="94440"/>
    <x v="1"/>
    <n v="4"/>
    <m/>
    <s v="Senior"/>
    <s v="Medium rating"/>
    <x v="1"/>
  </r>
  <r>
    <x v="60"/>
    <x v="7"/>
    <x v="4"/>
    <x v="0"/>
    <n v="32"/>
    <x v="59"/>
    <x v="27"/>
    <n v="39226"/>
    <x v="0"/>
    <n v="4"/>
    <n v="3.3013698630136985"/>
    <s v="Menior"/>
    <s v="Medium rating"/>
    <x v="2"/>
  </r>
  <r>
    <x v="61"/>
    <x v="4"/>
    <x v="2"/>
    <x v="1"/>
    <n v="35"/>
    <x v="60"/>
    <x v="28"/>
    <n v="102208"/>
    <x v="0"/>
    <n v="5"/>
    <n v="3.3506849315068492"/>
    <s v="Menior"/>
    <s v="High rating"/>
    <x v="2"/>
  </r>
  <r>
    <x v="62"/>
    <x v="6"/>
    <x v="4"/>
    <x v="1"/>
    <n v="38"/>
    <x v="61"/>
    <x v="1"/>
    <n v="92067"/>
    <x v="1"/>
    <n v="2"/>
    <m/>
    <s v="Menior"/>
    <s v="Low rating"/>
    <x v="1"/>
  </r>
  <r>
    <x v="63"/>
    <x v="2"/>
    <x v="2"/>
    <x v="0"/>
    <n v="28"/>
    <x v="62"/>
    <x v="29"/>
    <n v="116324"/>
    <x v="0"/>
    <n v="4"/>
    <n v="2.5671232876712327"/>
    <s v="Fresher"/>
    <s v="Medium rating"/>
    <x v="2"/>
  </r>
  <r>
    <x v="64"/>
    <x v="6"/>
    <x v="4"/>
    <x v="0"/>
    <n v="50"/>
    <x v="63"/>
    <x v="30"/>
    <n v="25164"/>
    <x v="0"/>
    <n v="5"/>
    <n v="0.56986301369863013"/>
    <s v="Senior"/>
    <s v="High rating"/>
    <x v="0"/>
  </r>
  <r>
    <x v="65"/>
    <x v="9"/>
    <x v="3"/>
    <x v="1"/>
    <n v="26"/>
    <x v="64"/>
    <x v="1"/>
    <n v="111416"/>
    <x v="1"/>
    <n v="1"/>
    <m/>
    <s v="Fresher"/>
    <s v="Low rating"/>
    <x v="1"/>
  </r>
  <r>
    <x v="66"/>
    <x v="9"/>
    <x v="0"/>
    <x v="1"/>
    <n v="30"/>
    <x v="65"/>
    <x v="1"/>
    <n v="37122"/>
    <x v="1"/>
    <n v="3"/>
    <m/>
    <s v="Menior"/>
    <s v="Medium rating"/>
    <x v="1"/>
  </r>
  <r>
    <x v="67"/>
    <x v="5"/>
    <x v="1"/>
    <x v="1"/>
    <n v="42"/>
    <x v="66"/>
    <x v="31"/>
    <n v="37669"/>
    <x v="0"/>
    <n v="3"/>
    <n v="1.9506849315068493"/>
    <s v="Senior"/>
    <s v="Medium rating"/>
    <x v="0"/>
  </r>
  <r>
    <x v="68"/>
    <x v="4"/>
    <x v="2"/>
    <x v="1"/>
    <n v="36"/>
    <x v="67"/>
    <x v="32"/>
    <n v="103942"/>
    <x v="0"/>
    <n v="1"/>
    <n v="3.9123287671232876"/>
    <s v="Menior"/>
    <s v="Low rating"/>
    <x v="2"/>
  </r>
  <r>
    <x v="69"/>
    <x v="1"/>
    <x v="2"/>
    <x v="0"/>
    <n v="25"/>
    <x v="68"/>
    <x v="1"/>
    <n v="119634"/>
    <x v="1"/>
    <n v="3"/>
    <m/>
    <s v="Fresher"/>
    <s v="Medium rating"/>
    <x v="1"/>
  </r>
  <r>
    <x v="70"/>
    <x v="5"/>
    <x v="0"/>
    <x v="1"/>
    <n v="36"/>
    <x v="69"/>
    <x v="33"/>
    <n v="73611"/>
    <x v="0"/>
    <n v="2"/>
    <n v="0.15890410958904111"/>
    <s v="Menior"/>
    <s v="Low rating"/>
    <x v="0"/>
  </r>
  <r>
    <x v="71"/>
    <x v="7"/>
    <x v="3"/>
    <x v="1"/>
    <n v="29"/>
    <x v="70"/>
    <x v="1"/>
    <n v="59225"/>
    <x v="1"/>
    <n v="2"/>
    <m/>
    <s v="Fresher"/>
    <s v="Low rating"/>
    <x v="1"/>
  </r>
  <r>
    <x v="72"/>
    <x v="2"/>
    <x v="2"/>
    <x v="1"/>
    <n v="33"/>
    <x v="71"/>
    <x v="34"/>
    <n v="114308"/>
    <x v="0"/>
    <n v="5"/>
    <n v="2.8301369863013699"/>
    <s v="Menior"/>
    <s v="High rating"/>
    <x v="2"/>
  </r>
  <r>
    <x v="73"/>
    <x v="7"/>
    <x v="3"/>
    <x v="0"/>
    <n v="30"/>
    <x v="72"/>
    <x v="1"/>
    <n v="102550"/>
    <x v="1"/>
    <n v="1"/>
    <m/>
    <s v="Menior"/>
    <s v="Low rating"/>
    <x v="1"/>
  </r>
  <r>
    <x v="74"/>
    <x v="8"/>
    <x v="1"/>
    <x v="1"/>
    <n v="39"/>
    <x v="73"/>
    <x v="35"/>
    <n v="32189"/>
    <x v="0"/>
    <n v="1"/>
    <n v="1.747945205479452"/>
    <s v="Menior"/>
    <s v="Low rating"/>
    <x v="0"/>
  </r>
  <r>
    <x v="75"/>
    <x v="3"/>
    <x v="4"/>
    <x v="0"/>
    <n v="24"/>
    <x v="74"/>
    <x v="1"/>
    <n v="36917"/>
    <x v="1"/>
    <n v="1"/>
    <m/>
    <s v="Fresher"/>
    <s v="Low rating"/>
    <x v="1"/>
  </r>
  <r>
    <x v="76"/>
    <x v="4"/>
    <x v="0"/>
    <x v="0"/>
    <n v="29"/>
    <x v="75"/>
    <x v="36"/>
    <n v="77589"/>
    <x v="0"/>
    <n v="5"/>
    <n v="0.20273972602739726"/>
    <s v="Fresher"/>
    <s v="High rating"/>
    <x v="0"/>
  </r>
  <r>
    <x v="77"/>
    <x v="5"/>
    <x v="3"/>
    <x v="1"/>
    <n v="46"/>
    <x v="76"/>
    <x v="37"/>
    <n v="61443"/>
    <x v="0"/>
    <n v="5"/>
    <n v="0.72054794520547949"/>
    <s v="Senior"/>
    <s v="High rating"/>
    <x v="0"/>
  </r>
  <r>
    <x v="78"/>
    <x v="5"/>
    <x v="2"/>
    <x v="1"/>
    <n v="48"/>
    <x v="77"/>
    <x v="1"/>
    <n v="60785"/>
    <x v="1"/>
    <n v="3"/>
    <m/>
    <s v="Senior"/>
    <s v="Medium rating"/>
    <x v="1"/>
  </r>
  <r>
    <x v="79"/>
    <x v="5"/>
    <x v="1"/>
    <x v="1"/>
    <n v="40"/>
    <x v="78"/>
    <x v="1"/>
    <n v="45302"/>
    <x v="1"/>
    <n v="3"/>
    <m/>
    <s v="Senior"/>
    <s v="Medium rating"/>
    <x v="1"/>
  </r>
  <r>
    <x v="80"/>
    <x v="6"/>
    <x v="3"/>
    <x v="1"/>
    <n v="35"/>
    <x v="79"/>
    <x v="38"/>
    <n v="80015"/>
    <x v="0"/>
    <n v="4"/>
    <n v="2.871232876712329"/>
    <s v="Menior"/>
    <s v="Medium rating"/>
    <x v="2"/>
  </r>
  <r>
    <x v="81"/>
    <x v="1"/>
    <x v="4"/>
    <x v="0"/>
    <n v="26"/>
    <x v="80"/>
    <x v="39"/>
    <n v="75255"/>
    <x v="0"/>
    <n v="3"/>
    <n v="3.5397260273972604"/>
    <s v="Fresher"/>
    <s v="Medium rating"/>
    <x v="2"/>
  </r>
  <r>
    <x v="82"/>
    <x v="1"/>
    <x v="0"/>
    <x v="0"/>
    <n v="25"/>
    <x v="81"/>
    <x v="1"/>
    <n v="59206"/>
    <x v="1"/>
    <n v="5"/>
    <m/>
    <s v="Fresher"/>
    <s v="High rating"/>
    <x v="1"/>
  </r>
  <r>
    <x v="83"/>
    <x v="0"/>
    <x v="3"/>
    <x v="1"/>
    <n v="38"/>
    <x v="82"/>
    <x v="40"/>
    <n v="107061"/>
    <x v="0"/>
    <n v="3"/>
    <n v="0.45479452054794522"/>
    <s v="Menior"/>
    <s v="Medium rating"/>
    <x v="0"/>
  </r>
  <r>
    <x v="84"/>
    <x v="5"/>
    <x v="0"/>
    <x v="1"/>
    <n v="46"/>
    <x v="83"/>
    <x v="1"/>
    <n v="55886"/>
    <x v="1"/>
    <n v="4"/>
    <m/>
    <s v="Senior"/>
    <s v="Medium rating"/>
    <x v="1"/>
  </r>
  <r>
    <x v="85"/>
    <x v="3"/>
    <x v="0"/>
    <x v="1"/>
    <n v="23"/>
    <x v="84"/>
    <x v="1"/>
    <n v="110120"/>
    <x v="1"/>
    <n v="1"/>
    <m/>
    <s v="Fresher"/>
    <s v="Low rating"/>
    <x v="1"/>
  </r>
  <r>
    <x v="86"/>
    <x v="3"/>
    <x v="4"/>
    <x v="1"/>
    <n v="25"/>
    <x v="85"/>
    <x v="41"/>
    <n v="96309"/>
    <x v="0"/>
    <n v="2"/>
    <n v="1.0849315068493151"/>
    <s v="Fresher"/>
    <s v="Low rating"/>
    <x v="0"/>
  </r>
  <r>
    <x v="87"/>
    <x v="6"/>
    <x v="4"/>
    <x v="1"/>
    <n v="31"/>
    <x v="86"/>
    <x v="1"/>
    <n v="49386"/>
    <x v="1"/>
    <n v="1"/>
    <m/>
    <s v="Menior"/>
    <s v="Low rating"/>
    <x v="1"/>
  </r>
  <r>
    <x v="88"/>
    <x v="1"/>
    <x v="4"/>
    <x v="1"/>
    <n v="29"/>
    <x v="87"/>
    <x v="1"/>
    <n v="106360"/>
    <x v="1"/>
    <n v="1"/>
    <m/>
    <s v="Fresher"/>
    <s v="Low rating"/>
    <x v="1"/>
  </r>
  <r>
    <x v="89"/>
    <x v="2"/>
    <x v="1"/>
    <x v="1"/>
    <n v="49"/>
    <x v="88"/>
    <x v="42"/>
    <n v="66746"/>
    <x v="0"/>
    <n v="2"/>
    <n v="1.9424657534246574"/>
    <s v="Senior"/>
    <s v="Low rating"/>
    <x v="0"/>
  </r>
  <r>
    <x v="90"/>
    <x v="5"/>
    <x v="1"/>
    <x v="1"/>
    <n v="30"/>
    <x v="89"/>
    <x v="43"/>
    <n v="25329"/>
    <x v="0"/>
    <n v="1"/>
    <n v="3.1397260273972605"/>
    <s v="Menior"/>
    <s v="Low rating"/>
    <x v="2"/>
  </r>
  <r>
    <x v="91"/>
    <x v="9"/>
    <x v="1"/>
    <x v="0"/>
    <n v="27"/>
    <x v="90"/>
    <x v="1"/>
    <n v="90975"/>
    <x v="1"/>
    <n v="3"/>
    <m/>
    <s v="Fresher"/>
    <s v="Medium rating"/>
    <x v="1"/>
  </r>
  <r>
    <x v="92"/>
    <x v="7"/>
    <x v="0"/>
    <x v="0"/>
    <n v="47"/>
    <x v="91"/>
    <x v="1"/>
    <n v="109016"/>
    <x v="1"/>
    <n v="1"/>
    <m/>
    <s v="Senior"/>
    <s v="Low rating"/>
    <x v="1"/>
  </r>
  <r>
    <x v="93"/>
    <x v="5"/>
    <x v="4"/>
    <x v="0"/>
    <n v="28"/>
    <x v="92"/>
    <x v="44"/>
    <n v="75189"/>
    <x v="0"/>
    <n v="3"/>
    <n v="3.6904109589041094"/>
    <s v="Fresher"/>
    <s v="Medium rating"/>
    <x v="2"/>
  </r>
  <r>
    <x v="94"/>
    <x v="6"/>
    <x v="3"/>
    <x v="0"/>
    <n v="28"/>
    <x v="93"/>
    <x v="45"/>
    <n v="97771"/>
    <x v="0"/>
    <n v="1"/>
    <n v="0.11780821917808219"/>
    <s v="Fresher"/>
    <s v="Low rating"/>
    <x v="0"/>
  </r>
  <r>
    <x v="95"/>
    <x v="4"/>
    <x v="1"/>
    <x v="1"/>
    <n v="35"/>
    <x v="94"/>
    <x v="46"/>
    <n v="34368"/>
    <x v="0"/>
    <n v="5"/>
    <n v="1.2876712328767124"/>
    <s v="Menior"/>
    <s v="High rating"/>
    <x v="0"/>
  </r>
  <r>
    <x v="96"/>
    <x v="6"/>
    <x v="2"/>
    <x v="1"/>
    <n v="29"/>
    <x v="95"/>
    <x v="47"/>
    <n v="45093"/>
    <x v="0"/>
    <n v="3"/>
    <n v="1.6219178082191781"/>
    <s v="Fresher"/>
    <s v="Medium rating"/>
    <x v="0"/>
  </r>
  <r>
    <x v="97"/>
    <x v="3"/>
    <x v="1"/>
    <x v="1"/>
    <n v="32"/>
    <x v="96"/>
    <x v="48"/>
    <n v="84435"/>
    <x v="0"/>
    <n v="2"/>
    <n v="2.3287671232876712"/>
    <s v="Menior"/>
    <s v="Low rating"/>
    <x v="2"/>
  </r>
  <r>
    <x v="98"/>
    <x v="8"/>
    <x v="2"/>
    <x v="0"/>
    <n v="24"/>
    <x v="97"/>
    <x v="1"/>
    <n v="26663"/>
    <x v="1"/>
    <n v="3"/>
    <m/>
    <s v="Fresher"/>
    <s v="Medium rating"/>
    <x v="1"/>
  </r>
  <r>
    <x v="99"/>
    <x v="5"/>
    <x v="2"/>
    <x v="1"/>
    <n v="30"/>
    <x v="98"/>
    <x v="1"/>
    <n v="109325"/>
    <x v="1"/>
    <n v="3"/>
    <m/>
    <s v="Menior"/>
    <s v="Medium rating"/>
    <x v="1"/>
  </r>
  <r>
    <x v="100"/>
    <x v="1"/>
    <x v="3"/>
    <x v="0"/>
    <n v="40"/>
    <x v="99"/>
    <x v="49"/>
    <n v="98034"/>
    <x v="0"/>
    <n v="3"/>
    <n v="3.1917808219178081"/>
    <s v="Senior"/>
    <s v="Medium rating"/>
    <x v="2"/>
  </r>
  <r>
    <x v="101"/>
    <x v="2"/>
    <x v="3"/>
    <x v="1"/>
    <n v="29"/>
    <x v="100"/>
    <x v="1"/>
    <n v="100059"/>
    <x v="1"/>
    <n v="2"/>
    <m/>
    <s v="Fresher"/>
    <s v="Low rating"/>
    <x v="1"/>
  </r>
  <r>
    <x v="102"/>
    <x v="1"/>
    <x v="2"/>
    <x v="1"/>
    <n v="49"/>
    <x v="101"/>
    <x v="1"/>
    <n v="40376"/>
    <x v="1"/>
    <n v="5"/>
    <m/>
    <s v="Senior"/>
    <s v="High rating"/>
    <x v="1"/>
  </r>
  <r>
    <x v="103"/>
    <x v="8"/>
    <x v="1"/>
    <x v="0"/>
    <n v="46"/>
    <x v="102"/>
    <x v="50"/>
    <n v="70323"/>
    <x v="0"/>
    <n v="5"/>
    <n v="0.49315068493150682"/>
    <s v="Senior"/>
    <s v="High rating"/>
    <x v="0"/>
  </r>
  <r>
    <x v="104"/>
    <x v="5"/>
    <x v="3"/>
    <x v="0"/>
    <n v="43"/>
    <x v="103"/>
    <x v="51"/>
    <n v="104735"/>
    <x v="0"/>
    <n v="1"/>
    <n v="0.18904109589041096"/>
    <s v="Senior"/>
    <s v="Low rating"/>
    <x v="0"/>
  </r>
  <r>
    <x v="105"/>
    <x v="2"/>
    <x v="2"/>
    <x v="0"/>
    <n v="46"/>
    <x v="104"/>
    <x v="1"/>
    <n v="62368"/>
    <x v="1"/>
    <n v="1"/>
    <m/>
    <s v="Senior"/>
    <s v="Low rating"/>
    <x v="1"/>
  </r>
  <r>
    <x v="106"/>
    <x v="5"/>
    <x v="4"/>
    <x v="1"/>
    <n v="22"/>
    <x v="105"/>
    <x v="1"/>
    <n v="58755"/>
    <x v="1"/>
    <n v="3"/>
    <m/>
    <s v="Fresher"/>
    <s v="Medium rating"/>
    <x v="1"/>
  </r>
  <r>
    <x v="107"/>
    <x v="0"/>
    <x v="0"/>
    <x v="0"/>
    <n v="33"/>
    <x v="39"/>
    <x v="1"/>
    <n v="116105"/>
    <x v="1"/>
    <n v="3"/>
    <m/>
    <s v="Menior"/>
    <s v="Medium rating"/>
    <x v="1"/>
  </r>
  <r>
    <x v="108"/>
    <x v="7"/>
    <x v="0"/>
    <x v="1"/>
    <n v="28"/>
    <x v="106"/>
    <x v="52"/>
    <n v="79813"/>
    <x v="0"/>
    <n v="2"/>
    <n v="2.7917808219178082"/>
    <s v="Fresher"/>
    <s v="Low rating"/>
    <x v="2"/>
  </r>
  <r>
    <x v="109"/>
    <x v="5"/>
    <x v="0"/>
    <x v="0"/>
    <n v="42"/>
    <x v="107"/>
    <x v="53"/>
    <n v="81689"/>
    <x v="0"/>
    <n v="2"/>
    <n v="2.1452054794520548"/>
    <s v="Senior"/>
    <s v="Low rating"/>
    <x v="2"/>
  </r>
  <r>
    <x v="110"/>
    <x v="0"/>
    <x v="1"/>
    <x v="0"/>
    <n v="39"/>
    <x v="108"/>
    <x v="1"/>
    <n v="55203"/>
    <x v="1"/>
    <n v="5"/>
    <m/>
    <s v="Menior"/>
    <s v="High rating"/>
    <x v="1"/>
  </r>
  <r>
    <x v="111"/>
    <x v="2"/>
    <x v="0"/>
    <x v="1"/>
    <n v="48"/>
    <x v="109"/>
    <x v="1"/>
    <n v="54684"/>
    <x v="1"/>
    <n v="2"/>
    <m/>
    <s v="Senior"/>
    <s v="Low rating"/>
    <x v="1"/>
  </r>
  <r>
    <x v="112"/>
    <x v="0"/>
    <x v="3"/>
    <x v="0"/>
    <n v="42"/>
    <x v="110"/>
    <x v="1"/>
    <n v="82753"/>
    <x v="1"/>
    <n v="1"/>
    <m/>
    <s v="Senior"/>
    <s v="Low rating"/>
    <x v="1"/>
  </r>
  <r>
    <x v="113"/>
    <x v="5"/>
    <x v="3"/>
    <x v="1"/>
    <n v="25"/>
    <x v="111"/>
    <x v="1"/>
    <n v="94703"/>
    <x v="1"/>
    <n v="4"/>
    <m/>
    <s v="Fresher"/>
    <s v="Medium rating"/>
    <x v="1"/>
  </r>
  <r>
    <x v="114"/>
    <x v="0"/>
    <x v="1"/>
    <x v="0"/>
    <n v="23"/>
    <x v="112"/>
    <x v="54"/>
    <n v="75513"/>
    <x v="0"/>
    <n v="2"/>
    <n v="2.1698630136986301"/>
    <s v="Fresher"/>
    <s v="Low rating"/>
    <x v="2"/>
  </r>
  <r>
    <x v="115"/>
    <x v="6"/>
    <x v="0"/>
    <x v="0"/>
    <n v="31"/>
    <x v="113"/>
    <x v="1"/>
    <n v="90928"/>
    <x v="1"/>
    <n v="2"/>
    <m/>
    <s v="Menior"/>
    <s v="Low rating"/>
    <x v="1"/>
  </r>
  <r>
    <x v="116"/>
    <x v="1"/>
    <x v="4"/>
    <x v="0"/>
    <n v="37"/>
    <x v="114"/>
    <x v="1"/>
    <n v="104554"/>
    <x v="1"/>
    <n v="1"/>
    <m/>
    <s v="Menior"/>
    <s v="Low rating"/>
    <x v="1"/>
  </r>
  <r>
    <x v="117"/>
    <x v="4"/>
    <x v="2"/>
    <x v="0"/>
    <n v="40"/>
    <x v="115"/>
    <x v="55"/>
    <n v="27003"/>
    <x v="0"/>
    <n v="3"/>
    <n v="1.5534246575342465"/>
    <s v="Senior"/>
    <s v="Medium rating"/>
    <x v="0"/>
  </r>
  <r>
    <x v="118"/>
    <x v="9"/>
    <x v="0"/>
    <x v="1"/>
    <n v="44"/>
    <x v="116"/>
    <x v="56"/>
    <n v="42361"/>
    <x v="0"/>
    <n v="1"/>
    <n v="2.2958904109589042"/>
    <s v="Senior"/>
    <s v="Low rating"/>
    <x v="2"/>
  </r>
  <r>
    <x v="119"/>
    <x v="2"/>
    <x v="4"/>
    <x v="1"/>
    <n v="43"/>
    <x v="117"/>
    <x v="57"/>
    <n v="101559"/>
    <x v="0"/>
    <n v="2"/>
    <n v="0.47397260273972602"/>
    <s v="Senior"/>
    <s v="Low rating"/>
    <x v="0"/>
  </r>
  <r>
    <x v="120"/>
    <x v="1"/>
    <x v="3"/>
    <x v="0"/>
    <n v="34"/>
    <x v="30"/>
    <x v="1"/>
    <n v="92786"/>
    <x v="1"/>
    <n v="5"/>
    <m/>
    <s v="Menior"/>
    <s v="High rating"/>
    <x v="1"/>
  </r>
  <r>
    <x v="121"/>
    <x v="8"/>
    <x v="0"/>
    <x v="0"/>
    <n v="30"/>
    <x v="118"/>
    <x v="1"/>
    <n v="92883"/>
    <x v="1"/>
    <n v="2"/>
    <m/>
    <s v="Menior"/>
    <s v="Low rating"/>
    <x v="1"/>
  </r>
  <r>
    <x v="122"/>
    <x v="1"/>
    <x v="2"/>
    <x v="1"/>
    <n v="44"/>
    <x v="119"/>
    <x v="58"/>
    <n v="75185"/>
    <x v="0"/>
    <n v="3"/>
    <n v="3.043835616438356"/>
    <s v="Senior"/>
    <s v="Medium rating"/>
    <x v="2"/>
  </r>
  <r>
    <x v="123"/>
    <x v="4"/>
    <x v="3"/>
    <x v="1"/>
    <n v="38"/>
    <x v="120"/>
    <x v="59"/>
    <n v="74932"/>
    <x v="0"/>
    <n v="1"/>
    <n v="2.2493150684931509"/>
    <s v="Menior"/>
    <s v="Low rating"/>
    <x v="2"/>
  </r>
  <r>
    <x v="124"/>
    <x v="3"/>
    <x v="1"/>
    <x v="1"/>
    <n v="36"/>
    <x v="121"/>
    <x v="60"/>
    <n v="74196"/>
    <x v="0"/>
    <n v="3"/>
    <n v="1.4931506849315068"/>
    <s v="Menior"/>
    <s v="Medium rating"/>
    <x v="0"/>
  </r>
  <r>
    <x v="125"/>
    <x v="5"/>
    <x v="2"/>
    <x v="0"/>
    <n v="22"/>
    <x v="122"/>
    <x v="1"/>
    <n v="81319"/>
    <x v="1"/>
    <n v="5"/>
    <m/>
    <s v="Fresher"/>
    <s v="High rating"/>
    <x v="1"/>
  </r>
  <r>
    <x v="126"/>
    <x v="4"/>
    <x v="2"/>
    <x v="0"/>
    <n v="37"/>
    <x v="123"/>
    <x v="61"/>
    <n v="51650"/>
    <x v="0"/>
    <n v="4"/>
    <n v="0.9452054794520548"/>
    <s v="Menior"/>
    <s v="Medium rating"/>
    <x v="0"/>
  </r>
  <r>
    <x v="127"/>
    <x v="7"/>
    <x v="2"/>
    <x v="1"/>
    <n v="39"/>
    <x v="124"/>
    <x v="62"/>
    <n v="97654"/>
    <x v="0"/>
    <n v="5"/>
    <n v="2.2794520547945205"/>
    <s v="Menior"/>
    <s v="High rating"/>
    <x v="2"/>
  </r>
  <r>
    <x v="128"/>
    <x v="1"/>
    <x v="4"/>
    <x v="0"/>
    <n v="31"/>
    <x v="31"/>
    <x v="1"/>
    <n v="65435"/>
    <x v="1"/>
    <n v="1"/>
    <m/>
    <s v="Menior"/>
    <s v="Low rating"/>
    <x v="1"/>
  </r>
  <r>
    <x v="129"/>
    <x v="2"/>
    <x v="2"/>
    <x v="0"/>
    <n v="40"/>
    <x v="125"/>
    <x v="1"/>
    <n v="28507"/>
    <x v="1"/>
    <n v="2"/>
    <m/>
    <s v="Senior"/>
    <s v="Low rating"/>
    <x v="1"/>
  </r>
  <r>
    <x v="130"/>
    <x v="2"/>
    <x v="1"/>
    <x v="0"/>
    <n v="50"/>
    <x v="126"/>
    <x v="1"/>
    <n v="36753"/>
    <x v="1"/>
    <n v="1"/>
    <m/>
    <s v="Senior"/>
    <s v="Low rating"/>
    <x v="1"/>
  </r>
  <r>
    <x v="131"/>
    <x v="0"/>
    <x v="0"/>
    <x v="1"/>
    <n v="41"/>
    <x v="127"/>
    <x v="1"/>
    <n v="67548"/>
    <x v="1"/>
    <n v="3"/>
    <m/>
    <s v="Senior"/>
    <s v="Medium rating"/>
    <x v="1"/>
  </r>
  <r>
    <x v="132"/>
    <x v="3"/>
    <x v="0"/>
    <x v="0"/>
    <n v="26"/>
    <x v="128"/>
    <x v="1"/>
    <n v="72601"/>
    <x v="1"/>
    <n v="4"/>
    <m/>
    <s v="Fresher"/>
    <s v="Medium rating"/>
    <x v="1"/>
  </r>
  <r>
    <x v="133"/>
    <x v="4"/>
    <x v="2"/>
    <x v="0"/>
    <n v="31"/>
    <x v="129"/>
    <x v="1"/>
    <n v="95174"/>
    <x v="1"/>
    <n v="2"/>
    <m/>
    <s v="Menior"/>
    <s v="Low rating"/>
    <x v="1"/>
  </r>
  <r>
    <x v="134"/>
    <x v="2"/>
    <x v="2"/>
    <x v="1"/>
    <n v="48"/>
    <x v="130"/>
    <x v="63"/>
    <n v="97888"/>
    <x v="0"/>
    <n v="2"/>
    <n v="1.6547945205479453"/>
    <s v="Senior"/>
    <s v="Low rating"/>
    <x v="0"/>
  </r>
  <r>
    <x v="135"/>
    <x v="6"/>
    <x v="1"/>
    <x v="0"/>
    <n v="39"/>
    <x v="131"/>
    <x v="1"/>
    <n v="115646"/>
    <x v="1"/>
    <n v="3"/>
    <m/>
    <s v="Menior"/>
    <s v="Medium rating"/>
    <x v="1"/>
  </r>
  <r>
    <x v="136"/>
    <x v="8"/>
    <x v="1"/>
    <x v="1"/>
    <n v="49"/>
    <x v="12"/>
    <x v="64"/>
    <n v="60520"/>
    <x v="0"/>
    <n v="1"/>
    <n v="1.6109589041095891"/>
    <s v="Senior"/>
    <s v="Low rating"/>
    <x v="0"/>
  </r>
  <r>
    <x v="137"/>
    <x v="9"/>
    <x v="3"/>
    <x v="1"/>
    <n v="33"/>
    <x v="132"/>
    <x v="65"/>
    <n v="68788"/>
    <x v="0"/>
    <n v="4"/>
    <n v="2.3917808219178083"/>
    <s v="Menior"/>
    <s v="Medium rating"/>
    <x v="2"/>
  </r>
  <r>
    <x v="138"/>
    <x v="9"/>
    <x v="2"/>
    <x v="1"/>
    <n v="25"/>
    <x v="133"/>
    <x v="1"/>
    <n v="79105"/>
    <x v="1"/>
    <n v="3"/>
    <m/>
    <s v="Fresher"/>
    <s v="Medium rating"/>
    <x v="1"/>
  </r>
  <r>
    <x v="139"/>
    <x v="3"/>
    <x v="2"/>
    <x v="0"/>
    <n v="28"/>
    <x v="134"/>
    <x v="1"/>
    <n v="55472"/>
    <x v="1"/>
    <n v="3"/>
    <m/>
    <s v="Fresher"/>
    <s v="Medium rating"/>
    <x v="1"/>
  </r>
  <r>
    <x v="140"/>
    <x v="6"/>
    <x v="1"/>
    <x v="1"/>
    <n v="48"/>
    <x v="135"/>
    <x v="66"/>
    <n v="32338"/>
    <x v="0"/>
    <n v="3"/>
    <n v="2.1150684931506851"/>
    <s v="Senior"/>
    <s v="Medium rating"/>
    <x v="2"/>
  </r>
  <r>
    <x v="141"/>
    <x v="5"/>
    <x v="0"/>
    <x v="1"/>
    <n v="37"/>
    <x v="136"/>
    <x v="1"/>
    <n v="106987"/>
    <x v="1"/>
    <n v="3"/>
    <m/>
    <s v="Menior"/>
    <s v="Medium rating"/>
    <x v="1"/>
  </r>
  <r>
    <x v="142"/>
    <x v="8"/>
    <x v="2"/>
    <x v="0"/>
    <n v="28"/>
    <x v="137"/>
    <x v="1"/>
    <n v="51087"/>
    <x v="1"/>
    <n v="3"/>
    <m/>
    <s v="Fresher"/>
    <s v="Medium rating"/>
    <x v="1"/>
  </r>
  <r>
    <x v="143"/>
    <x v="2"/>
    <x v="0"/>
    <x v="0"/>
    <n v="37"/>
    <x v="138"/>
    <x v="1"/>
    <n v="76611"/>
    <x v="1"/>
    <n v="3"/>
    <m/>
    <s v="Menior"/>
    <s v="Medium rating"/>
    <x v="1"/>
  </r>
  <r>
    <x v="144"/>
    <x v="2"/>
    <x v="0"/>
    <x v="1"/>
    <n v="29"/>
    <x v="139"/>
    <x v="1"/>
    <n v="38615"/>
    <x v="1"/>
    <n v="2"/>
    <m/>
    <s v="Fresher"/>
    <s v="Low rating"/>
    <x v="1"/>
  </r>
  <r>
    <x v="145"/>
    <x v="3"/>
    <x v="3"/>
    <x v="0"/>
    <n v="27"/>
    <x v="140"/>
    <x v="67"/>
    <n v="110890"/>
    <x v="0"/>
    <n v="1"/>
    <n v="0.61917808219178083"/>
    <s v="Fresher"/>
    <s v="Low rating"/>
    <x v="0"/>
  </r>
  <r>
    <x v="146"/>
    <x v="8"/>
    <x v="0"/>
    <x v="1"/>
    <n v="44"/>
    <x v="141"/>
    <x v="1"/>
    <n v="77633"/>
    <x v="1"/>
    <n v="3"/>
    <m/>
    <s v="Senior"/>
    <s v="Medium rating"/>
    <x v="1"/>
  </r>
  <r>
    <x v="147"/>
    <x v="2"/>
    <x v="3"/>
    <x v="0"/>
    <n v="45"/>
    <x v="142"/>
    <x v="1"/>
    <n v="115149"/>
    <x v="1"/>
    <n v="5"/>
    <m/>
    <s v="Senior"/>
    <s v="High rating"/>
    <x v="1"/>
  </r>
  <r>
    <x v="148"/>
    <x v="1"/>
    <x v="2"/>
    <x v="1"/>
    <n v="44"/>
    <x v="143"/>
    <x v="68"/>
    <n v="75410"/>
    <x v="0"/>
    <n v="3"/>
    <n v="2.6739726027397261"/>
    <s v="Senior"/>
    <s v="Medium rating"/>
    <x v="2"/>
  </r>
  <r>
    <x v="149"/>
    <x v="1"/>
    <x v="1"/>
    <x v="1"/>
    <n v="38"/>
    <x v="144"/>
    <x v="1"/>
    <n v="119343"/>
    <x v="1"/>
    <n v="5"/>
    <m/>
    <s v="Menior"/>
    <s v="High rating"/>
    <x v="1"/>
  </r>
  <r>
    <x v="150"/>
    <x v="7"/>
    <x v="2"/>
    <x v="1"/>
    <n v="49"/>
    <x v="145"/>
    <x v="69"/>
    <n v="61700"/>
    <x v="0"/>
    <n v="5"/>
    <n v="4.021917808219178"/>
    <s v="Senior"/>
    <s v="High rating"/>
    <x v="2"/>
  </r>
  <r>
    <x v="151"/>
    <x v="5"/>
    <x v="1"/>
    <x v="0"/>
    <n v="43"/>
    <x v="13"/>
    <x v="70"/>
    <n v="57100"/>
    <x v="0"/>
    <n v="2"/>
    <n v="2.473972602739726"/>
    <s v="Senior"/>
    <s v="Low rating"/>
    <x v="2"/>
  </r>
  <r>
    <x v="152"/>
    <x v="9"/>
    <x v="1"/>
    <x v="1"/>
    <n v="40"/>
    <x v="146"/>
    <x v="1"/>
    <n v="111204"/>
    <x v="1"/>
    <n v="4"/>
    <m/>
    <s v="Senior"/>
    <s v="Medium rating"/>
    <x v="1"/>
  </r>
  <r>
    <x v="153"/>
    <x v="1"/>
    <x v="4"/>
    <x v="0"/>
    <n v="27"/>
    <x v="147"/>
    <x v="1"/>
    <n v="58788"/>
    <x v="1"/>
    <n v="4"/>
    <m/>
    <s v="Fresher"/>
    <s v="Medium rating"/>
    <x v="1"/>
  </r>
  <r>
    <x v="154"/>
    <x v="6"/>
    <x v="4"/>
    <x v="0"/>
    <n v="30"/>
    <x v="148"/>
    <x v="71"/>
    <n v="63060"/>
    <x v="0"/>
    <n v="1"/>
    <n v="2.8027397260273972"/>
    <s v="Menior"/>
    <s v="Low rating"/>
    <x v="2"/>
  </r>
  <r>
    <x v="155"/>
    <x v="5"/>
    <x v="3"/>
    <x v="1"/>
    <n v="40"/>
    <x v="149"/>
    <x v="72"/>
    <n v="38348"/>
    <x v="0"/>
    <n v="3"/>
    <n v="1.1534246575342466"/>
    <s v="Senior"/>
    <s v="Medium rating"/>
    <x v="0"/>
  </r>
  <r>
    <x v="156"/>
    <x v="0"/>
    <x v="2"/>
    <x v="0"/>
    <n v="35"/>
    <x v="150"/>
    <x v="73"/>
    <n v="90638"/>
    <x v="0"/>
    <n v="1"/>
    <n v="1.2931506849315069"/>
    <s v="Menior"/>
    <s v="Low rating"/>
    <x v="0"/>
  </r>
  <r>
    <x v="157"/>
    <x v="8"/>
    <x v="4"/>
    <x v="1"/>
    <n v="50"/>
    <x v="151"/>
    <x v="1"/>
    <n v="36701"/>
    <x v="1"/>
    <n v="4"/>
    <m/>
    <s v="Senior"/>
    <s v="Medium rating"/>
    <x v="1"/>
  </r>
  <r>
    <x v="158"/>
    <x v="7"/>
    <x v="4"/>
    <x v="1"/>
    <n v="49"/>
    <x v="152"/>
    <x v="1"/>
    <n v="52065"/>
    <x v="1"/>
    <n v="1"/>
    <m/>
    <s v="Senior"/>
    <s v="Low rating"/>
    <x v="1"/>
  </r>
  <r>
    <x v="159"/>
    <x v="9"/>
    <x v="0"/>
    <x v="0"/>
    <n v="33"/>
    <x v="153"/>
    <x v="1"/>
    <n v="103450"/>
    <x v="1"/>
    <n v="2"/>
    <m/>
    <s v="Menior"/>
    <s v="Low rating"/>
    <x v="1"/>
  </r>
  <r>
    <x v="160"/>
    <x v="1"/>
    <x v="3"/>
    <x v="0"/>
    <n v="38"/>
    <x v="154"/>
    <x v="1"/>
    <n v="76465"/>
    <x v="1"/>
    <n v="4"/>
    <m/>
    <s v="Menior"/>
    <s v="Medium rating"/>
    <x v="1"/>
  </r>
  <r>
    <x v="161"/>
    <x v="8"/>
    <x v="2"/>
    <x v="0"/>
    <n v="44"/>
    <x v="155"/>
    <x v="74"/>
    <n v="98695"/>
    <x v="0"/>
    <n v="1"/>
    <n v="3.1945205479452055"/>
    <s v="Senior"/>
    <s v="Low rating"/>
    <x v="2"/>
  </r>
  <r>
    <x v="162"/>
    <x v="5"/>
    <x v="2"/>
    <x v="1"/>
    <n v="42"/>
    <x v="156"/>
    <x v="75"/>
    <n v="99585"/>
    <x v="0"/>
    <n v="4"/>
    <n v="3.493150684931507"/>
    <s v="Senior"/>
    <s v="Medium rating"/>
    <x v="2"/>
  </r>
  <r>
    <x v="163"/>
    <x v="3"/>
    <x v="0"/>
    <x v="0"/>
    <n v="46"/>
    <x v="157"/>
    <x v="1"/>
    <n v="94894"/>
    <x v="1"/>
    <n v="1"/>
    <m/>
    <s v="Senior"/>
    <s v="Low rating"/>
    <x v="1"/>
  </r>
  <r>
    <x v="164"/>
    <x v="2"/>
    <x v="0"/>
    <x v="0"/>
    <n v="38"/>
    <x v="118"/>
    <x v="1"/>
    <n v="30795"/>
    <x v="1"/>
    <n v="4"/>
    <m/>
    <s v="Menior"/>
    <s v="Medium rating"/>
    <x v="1"/>
  </r>
  <r>
    <x v="165"/>
    <x v="3"/>
    <x v="4"/>
    <x v="1"/>
    <n v="45"/>
    <x v="158"/>
    <x v="1"/>
    <n v="79361"/>
    <x v="1"/>
    <n v="5"/>
    <m/>
    <s v="Senior"/>
    <s v="High rating"/>
    <x v="1"/>
  </r>
  <r>
    <x v="166"/>
    <x v="7"/>
    <x v="1"/>
    <x v="1"/>
    <n v="42"/>
    <x v="159"/>
    <x v="76"/>
    <n v="109725"/>
    <x v="0"/>
    <n v="2"/>
    <n v="3.6109589041095891"/>
    <s v="Senior"/>
    <s v="Low rating"/>
    <x v="2"/>
  </r>
  <r>
    <x v="167"/>
    <x v="6"/>
    <x v="4"/>
    <x v="1"/>
    <n v="25"/>
    <x v="160"/>
    <x v="77"/>
    <n v="94622"/>
    <x v="0"/>
    <n v="4"/>
    <n v="1.6684931506849314"/>
    <s v="Fresher"/>
    <s v="Medium rating"/>
    <x v="0"/>
  </r>
  <r>
    <x v="168"/>
    <x v="2"/>
    <x v="2"/>
    <x v="1"/>
    <n v="25"/>
    <x v="161"/>
    <x v="1"/>
    <n v="62641"/>
    <x v="1"/>
    <n v="4"/>
    <m/>
    <s v="Fresher"/>
    <s v="Medium rating"/>
    <x v="1"/>
  </r>
  <r>
    <x v="169"/>
    <x v="2"/>
    <x v="3"/>
    <x v="0"/>
    <n v="23"/>
    <x v="162"/>
    <x v="78"/>
    <n v="58647"/>
    <x v="0"/>
    <n v="3"/>
    <n v="1.547945205479452"/>
    <s v="Fresher"/>
    <s v="Medium rating"/>
    <x v="0"/>
  </r>
  <r>
    <x v="170"/>
    <x v="7"/>
    <x v="2"/>
    <x v="1"/>
    <n v="43"/>
    <x v="163"/>
    <x v="79"/>
    <n v="28220"/>
    <x v="0"/>
    <n v="1"/>
    <n v="2.7232876712328768"/>
    <s v="Senior"/>
    <s v="Low rating"/>
    <x v="2"/>
  </r>
  <r>
    <x v="171"/>
    <x v="1"/>
    <x v="3"/>
    <x v="0"/>
    <n v="41"/>
    <x v="164"/>
    <x v="1"/>
    <n v="41042"/>
    <x v="1"/>
    <n v="2"/>
    <m/>
    <s v="Senior"/>
    <s v="Low rating"/>
    <x v="1"/>
  </r>
  <r>
    <x v="172"/>
    <x v="5"/>
    <x v="0"/>
    <x v="1"/>
    <n v="29"/>
    <x v="165"/>
    <x v="80"/>
    <n v="35678"/>
    <x v="0"/>
    <n v="3"/>
    <n v="0.67397260273972603"/>
    <s v="Fresher"/>
    <s v="Medium rating"/>
    <x v="0"/>
  </r>
  <r>
    <x v="173"/>
    <x v="7"/>
    <x v="2"/>
    <x v="0"/>
    <n v="46"/>
    <x v="166"/>
    <x v="81"/>
    <n v="92625"/>
    <x v="0"/>
    <n v="2"/>
    <n v="2.7095890410958905"/>
    <s v="Senior"/>
    <s v="Low rating"/>
    <x v="2"/>
  </r>
  <r>
    <x v="174"/>
    <x v="7"/>
    <x v="4"/>
    <x v="0"/>
    <n v="32"/>
    <x v="167"/>
    <x v="1"/>
    <n v="78034"/>
    <x v="1"/>
    <n v="2"/>
    <m/>
    <s v="Menior"/>
    <s v="Low rating"/>
    <x v="1"/>
  </r>
  <r>
    <x v="175"/>
    <x v="4"/>
    <x v="0"/>
    <x v="0"/>
    <n v="34"/>
    <x v="168"/>
    <x v="82"/>
    <n v="58991"/>
    <x v="0"/>
    <n v="5"/>
    <n v="2.8246575342465752"/>
    <s v="Menior"/>
    <s v="High rating"/>
    <x v="2"/>
  </r>
  <r>
    <x v="176"/>
    <x v="5"/>
    <x v="1"/>
    <x v="1"/>
    <n v="32"/>
    <x v="169"/>
    <x v="1"/>
    <n v="30171"/>
    <x v="1"/>
    <n v="2"/>
    <m/>
    <s v="Menior"/>
    <s v="Low rating"/>
    <x v="1"/>
  </r>
  <r>
    <x v="177"/>
    <x v="4"/>
    <x v="1"/>
    <x v="1"/>
    <n v="49"/>
    <x v="47"/>
    <x v="1"/>
    <n v="34665"/>
    <x v="1"/>
    <n v="5"/>
    <m/>
    <s v="Senior"/>
    <s v="High rating"/>
    <x v="1"/>
  </r>
  <r>
    <x v="178"/>
    <x v="3"/>
    <x v="0"/>
    <x v="1"/>
    <n v="27"/>
    <x v="170"/>
    <x v="83"/>
    <n v="110412"/>
    <x v="0"/>
    <n v="1"/>
    <n v="2.4657534246575343"/>
    <s v="Fresher"/>
    <s v="Low rating"/>
    <x v="2"/>
  </r>
  <r>
    <x v="179"/>
    <x v="7"/>
    <x v="4"/>
    <x v="1"/>
    <n v="27"/>
    <x v="171"/>
    <x v="1"/>
    <n v="117480"/>
    <x v="1"/>
    <n v="4"/>
    <m/>
    <s v="Fresher"/>
    <s v="Medium rating"/>
    <x v="1"/>
  </r>
  <r>
    <x v="180"/>
    <x v="0"/>
    <x v="2"/>
    <x v="0"/>
    <n v="40"/>
    <x v="172"/>
    <x v="1"/>
    <n v="109293"/>
    <x v="1"/>
    <n v="3"/>
    <m/>
    <s v="Senior"/>
    <s v="Medium rating"/>
    <x v="1"/>
  </r>
  <r>
    <x v="181"/>
    <x v="7"/>
    <x v="4"/>
    <x v="1"/>
    <n v="28"/>
    <x v="173"/>
    <x v="1"/>
    <n v="64024"/>
    <x v="1"/>
    <n v="5"/>
    <m/>
    <s v="Fresher"/>
    <s v="High rating"/>
    <x v="1"/>
  </r>
  <r>
    <x v="182"/>
    <x v="5"/>
    <x v="4"/>
    <x v="0"/>
    <n v="31"/>
    <x v="174"/>
    <x v="1"/>
    <n v="76015"/>
    <x v="1"/>
    <n v="1"/>
    <m/>
    <s v="Menior"/>
    <s v="Low rating"/>
    <x v="1"/>
  </r>
  <r>
    <x v="183"/>
    <x v="7"/>
    <x v="0"/>
    <x v="1"/>
    <n v="43"/>
    <x v="175"/>
    <x v="1"/>
    <n v="34201"/>
    <x v="1"/>
    <n v="2"/>
    <m/>
    <s v="Senior"/>
    <s v="Low rating"/>
    <x v="1"/>
  </r>
  <r>
    <x v="184"/>
    <x v="9"/>
    <x v="0"/>
    <x v="0"/>
    <n v="33"/>
    <x v="176"/>
    <x v="1"/>
    <n v="111740"/>
    <x v="1"/>
    <n v="5"/>
    <m/>
    <s v="Menior"/>
    <s v="High rating"/>
    <x v="1"/>
  </r>
  <r>
    <x v="185"/>
    <x v="8"/>
    <x v="0"/>
    <x v="0"/>
    <n v="31"/>
    <x v="177"/>
    <x v="1"/>
    <n v="81992"/>
    <x v="1"/>
    <n v="4"/>
    <m/>
    <s v="Menior"/>
    <s v="Medium rating"/>
    <x v="1"/>
  </r>
  <r>
    <x v="186"/>
    <x v="9"/>
    <x v="2"/>
    <x v="0"/>
    <n v="29"/>
    <x v="178"/>
    <x v="1"/>
    <n v="115906"/>
    <x v="1"/>
    <n v="1"/>
    <m/>
    <s v="Fresher"/>
    <s v="Low rating"/>
    <x v="1"/>
  </r>
  <r>
    <x v="187"/>
    <x v="6"/>
    <x v="1"/>
    <x v="1"/>
    <n v="42"/>
    <x v="179"/>
    <x v="1"/>
    <n v="118088"/>
    <x v="1"/>
    <n v="2"/>
    <m/>
    <s v="Senior"/>
    <s v="Low rating"/>
    <x v="1"/>
  </r>
  <r>
    <x v="188"/>
    <x v="2"/>
    <x v="3"/>
    <x v="0"/>
    <n v="48"/>
    <x v="180"/>
    <x v="84"/>
    <n v="95506"/>
    <x v="0"/>
    <n v="3"/>
    <n v="2.1424657534246574"/>
    <s v="Senior"/>
    <s v="Medium rating"/>
    <x v="2"/>
  </r>
  <r>
    <x v="189"/>
    <x v="6"/>
    <x v="4"/>
    <x v="1"/>
    <n v="43"/>
    <x v="181"/>
    <x v="85"/>
    <n v="107671"/>
    <x v="0"/>
    <n v="5"/>
    <n v="0.11232876712328767"/>
    <s v="Senior"/>
    <s v="High rating"/>
    <x v="0"/>
  </r>
  <r>
    <x v="190"/>
    <x v="4"/>
    <x v="0"/>
    <x v="0"/>
    <n v="31"/>
    <x v="182"/>
    <x v="86"/>
    <n v="74959"/>
    <x v="0"/>
    <n v="1"/>
    <n v="2.7397260273972601"/>
    <s v="Menior"/>
    <s v="Low rating"/>
    <x v="2"/>
  </r>
  <r>
    <x v="191"/>
    <x v="8"/>
    <x v="4"/>
    <x v="0"/>
    <n v="46"/>
    <x v="183"/>
    <x v="1"/>
    <n v="44203"/>
    <x v="1"/>
    <n v="4"/>
    <m/>
    <s v="Senior"/>
    <s v="Medium rating"/>
    <x v="1"/>
  </r>
  <r>
    <x v="192"/>
    <x v="6"/>
    <x v="1"/>
    <x v="1"/>
    <n v="47"/>
    <x v="184"/>
    <x v="1"/>
    <n v="118954"/>
    <x v="1"/>
    <n v="2"/>
    <m/>
    <s v="Senior"/>
    <s v="Low rating"/>
    <x v="1"/>
  </r>
  <r>
    <x v="193"/>
    <x v="9"/>
    <x v="3"/>
    <x v="0"/>
    <n v="25"/>
    <x v="185"/>
    <x v="87"/>
    <n v="78614"/>
    <x v="0"/>
    <n v="5"/>
    <n v="2.6547945205479451"/>
    <s v="Fresher"/>
    <s v="High rating"/>
    <x v="2"/>
  </r>
  <r>
    <x v="194"/>
    <x v="4"/>
    <x v="2"/>
    <x v="0"/>
    <n v="42"/>
    <x v="186"/>
    <x v="88"/>
    <n v="70986"/>
    <x v="0"/>
    <n v="4"/>
    <n v="0.32054794520547947"/>
    <s v="Senior"/>
    <s v="Medium rating"/>
    <x v="0"/>
  </r>
  <r>
    <x v="195"/>
    <x v="3"/>
    <x v="1"/>
    <x v="0"/>
    <n v="48"/>
    <x v="187"/>
    <x v="1"/>
    <n v="84885"/>
    <x v="1"/>
    <n v="4"/>
    <m/>
    <s v="Senior"/>
    <s v="Medium rating"/>
    <x v="1"/>
  </r>
  <r>
    <x v="196"/>
    <x v="8"/>
    <x v="1"/>
    <x v="1"/>
    <n v="44"/>
    <x v="188"/>
    <x v="1"/>
    <n v="42401"/>
    <x v="1"/>
    <n v="3"/>
    <m/>
    <s v="Senior"/>
    <s v="Medium rating"/>
    <x v="1"/>
  </r>
  <r>
    <x v="197"/>
    <x v="5"/>
    <x v="2"/>
    <x v="1"/>
    <n v="29"/>
    <x v="189"/>
    <x v="1"/>
    <n v="42824"/>
    <x v="1"/>
    <n v="2"/>
    <m/>
    <s v="Fresher"/>
    <s v="Low rating"/>
    <x v="1"/>
  </r>
  <r>
    <x v="198"/>
    <x v="7"/>
    <x v="2"/>
    <x v="1"/>
    <n v="37"/>
    <x v="190"/>
    <x v="89"/>
    <n v="70664"/>
    <x v="0"/>
    <n v="1"/>
    <n v="3.3232876712328765"/>
    <s v="Menior"/>
    <s v="Low rating"/>
    <x v="2"/>
  </r>
  <r>
    <x v="199"/>
    <x v="3"/>
    <x v="3"/>
    <x v="0"/>
    <n v="34"/>
    <x v="191"/>
    <x v="90"/>
    <n v="111564"/>
    <x v="0"/>
    <n v="1"/>
    <n v="2.5561643835616437"/>
    <s v="Menior"/>
    <s v="Low rating"/>
    <x v="2"/>
  </r>
  <r>
    <x v="200"/>
    <x v="2"/>
    <x v="2"/>
    <x v="0"/>
    <n v="34"/>
    <x v="17"/>
    <x v="1"/>
    <n v="33083"/>
    <x v="1"/>
    <n v="2"/>
    <m/>
    <s v="Menior"/>
    <s v="Low rating"/>
    <x v="1"/>
  </r>
  <r>
    <x v="201"/>
    <x v="9"/>
    <x v="3"/>
    <x v="0"/>
    <n v="25"/>
    <x v="192"/>
    <x v="91"/>
    <n v="33603"/>
    <x v="0"/>
    <n v="4"/>
    <n v="3.0630136986301371"/>
    <s v="Fresher"/>
    <s v="Medium rating"/>
    <x v="2"/>
  </r>
  <r>
    <x v="202"/>
    <x v="1"/>
    <x v="0"/>
    <x v="1"/>
    <n v="46"/>
    <x v="193"/>
    <x v="92"/>
    <n v="38283"/>
    <x v="0"/>
    <n v="2"/>
    <n v="1.0136986301369864"/>
    <s v="Senior"/>
    <s v="Low rating"/>
    <x v="0"/>
  </r>
  <r>
    <x v="203"/>
    <x v="6"/>
    <x v="3"/>
    <x v="1"/>
    <n v="36"/>
    <x v="194"/>
    <x v="1"/>
    <n v="34042"/>
    <x v="1"/>
    <n v="2"/>
    <m/>
    <s v="Menior"/>
    <s v="Low rating"/>
    <x v="1"/>
  </r>
  <r>
    <x v="204"/>
    <x v="9"/>
    <x v="1"/>
    <x v="1"/>
    <n v="23"/>
    <x v="195"/>
    <x v="93"/>
    <n v="53494"/>
    <x v="0"/>
    <n v="2"/>
    <n v="0.78630136986301369"/>
    <s v="Fresher"/>
    <s v="Low rating"/>
    <x v="0"/>
  </r>
  <r>
    <x v="205"/>
    <x v="6"/>
    <x v="4"/>
    <x v="1"/>
    <n v="36"/>
    <x v="196"/>
    <x v="1"/>
    <n v="63281"/>
    <x v="1"/>
    <n v="2"/>
    <m/>
    <s v="Menior"/>
    <s v="Low rating"/>
    <x v="1"/>
  </r>
  <r>
    <x v="206"/>
    <x v="3"/>
    <x v="0"/>
    <x v="0"/>
    <n v="45"/>
    <x v="197"/>
    <x v="94"/>
    <n v="112965"/>
    <x v="0"/>
    <n v="5"/>
    <n v="1.9205479452054794"/>
    <s v="Senior"/>
    <s v="High rating"/>
    <x v="0"/>
  </r>
  <r>
    <x v="207"/>
    <x v="8"/>
    <x v="2"/>
    <x v="1"/>
    <n v="40"/>
    <x v="198"/>
    <x v="1"/>
    <n v="39180"/>
    <x v="1"/>
    <n v="3"/>
    <m/>
    <s v="Senior"/>
    <s v="Medium rating"/>
    <x v="1"/>
  </r>
  <r>
    <x v="208"/>
    <x v="2"/>
    <x v="1"/>
    <x v="1"/>
    <n v="44"/>
    <x v="199"/>
    <x v="95"/>
    <n v="106438"/>
    <x v="0"/>
    <n v="2"/>
    <n v="2.1561643835616437"/>
    <s v="Senior"/>
    <s v="Low rating"/>
    <x v="2"/>
  </r>
  <r>
    <x v="209"/>
    <x v="8"/>
    <x v="3"/>
    <x v="1"/>
    <n v="46"/>
    <x v="200"/>
    <x v="96"/>
    <n v="114178"/>
    <x v="0"/>
    <n v="2"/>
    <n v="2.3945205479452056"/>
    <s v="Senior"/>
    <s v="Low rating"/>
    <x v="2"/>
  </r>
  <r>
    <x v="210"/>
    <x v="4"/>
    <x v="4"/>
    <x v="1"/>
    <n v="49"/>
    <x v="201"/>
    <x v="97"/>
    <n v="48666"/>
    <x v="0"/>
    <n v="4"/>
    <n v="1.9753424657534246"/>
    <s v="Senior"/>
    <s v="Medium rating"/>
    <x v="0"/>
  </r>
  <r>
    <x v="211"/>
    <x v="5"/>
    <x v="3"/>
    <x v="0"/>
    <n v="48"/>
    <x v="202"/>
    <x v="1"/>
    <n v="115115"/>
    <x v="1"/>
    <n v="3"/>
    <m/>
    <s v="Senior"/>
    <s v="Medium rating"/>
    <x v="1"/>
  </r>
  <r>
    <x v="212"/>
    <x v="0"/>
    <x v="4"/>
    <x v="0"/>
    <n v="37"/>
    <x v="203"/>
    <x v="1"/>
    <n v="44789"/>
    <x v="1"/>
    <n v="5"/>
    <m/>
    <s v="Menior"/>
    <s v="High rating"/>
    <x v="1"/>
  </r>
  <r>
    <x v="213"/>
    <x v="8"/>
    <x v="4"/>
    <x v="1"/>
    <n v="42"/>
    <x v="204"/>
    <x v="98"/>
    <n v="34019"/>
    <x v="0"/>
    <n v="1"/>
    <n v="3.0657534246575344"/>
    <s v="Senior"/>
    <s v="Low rating"/>
    <x v="2"/>
  </r>
  <r>
    <x v="214"/>
    <x v="9"/>
    <x v="3"/>
    <x v="1"/>
    <n v="38"/>
    <x v="205"/>
    <x v="99"/>
    <n v="52467"/>
    <x v="0"/>
    <n v="2"/>
    <n v="2.6630136986301371"/>
    <s v="Menior"/>
    <s v="Low rating"/>
    <x v="2"/>
  </r>
  <r>
    <x v="215"/>
    <x v="9"/>
    <x v="1"/>
    <x v="1"/>
    <n v="26"/>
    <x v="206"/>
    <x v="1"/>
    <n v="35440"/>
    <x v="1"/>
    <n v="5"/>
    <m/>
    <s v="Fresher"/>
    <s v="High rating"/>
    <x v="1"/>
  </r>
  <r>
    <x v="216"/>
    <x v="9"/>
    <x v="2"/>
    <x v="0"/>
    <n v="32"/>
    <x v="171"/>
    <x v="100"/>
    <n v="33210"/>
    <x v="0"/>
    <n v="2"/>
    <n v="1.2493150684931507"/>
    <s v="Menior"/>
    <s v="Low rating"/>
    <x v="0"/>
  </r>
  <r>
    <x v="217"/>
    <x v="5"/>
    <x v="0"/>
    <x v="0"/>
    <n v="32"/>
    <x v="207"/>
    <x v="101"/>
    <n v="88016"/>
    <x v="0"/>
    <n v="4"/>
    <n v="3.6383561643835618"/>
    <s v="Menior"/>
    <s v="Medium rating"/>
    <x v="2"/>
  </r>
  <r>
    <x v="218"/>
    <x v="2"/>
    <x v="4"/>
    <x v="0"/>
    <n v="47"/>
    <x v="208"/>
    <x v="1"/>
    <n v="37522"/>
    <x v="1"/>
    <n v="4"/>
    <m/>
    <s v="Senior"/>
    <s v="Medium rating"/>
    <x v="1"/>
  </r>
  <r>
    <x v="219"/>
    <x v="3"/>
    <x v="2"/>
    <x v="1"/>
    <n v="38"/>
    <x v="209"/>
    <x v="1"/>
    <n v="47782"/>
    <x v="1"/>
    <n v="1"/>
    <m/>
    <s v="Menior"/>
    <s v="Low rating"/>
    <x v="1"/>
  </r>
  <r>
    <x v="220"/>
    <x v="7"/>
    <x v="4"/>
    <x v="1"/>
    <n v="31"/>
    <x v="210"/>
    <x v="102"/>
    <n v="99327"/>
    <x v="0"/>
    <n v="1"/>
    <n v="2.4273972602739726"/>
    <s v="Menior"/>
    <s v="Low rating"/>
    <x v="2"/>
  </r>
  <r>
    <x v="221"/>
    <x v="4"/>
    <x v="4"/>
    <x v="1"/>
    <n v="26"/>
    <x v="211"/>
    <x v="103"/>
    <n v="49954"/>
    <x v="0"/>
    <n v="4"/>
    <n v="1.8"/>
    <s v="Fresher"/>
    <s v="Medium rating"/>
    <x v="0"/>
  </r>
  <r>
    <x v="222"/>
    <x v="0"/>
    <x v="1"/>
    <x v="0"/>
    <n v="35"/>
    <x v="212"/>
    <x v="1"/>
    <n v="101559"/>
    <x v="1"/>
    <n v="1"/>
    <m/>
    <s v="Menior"/>
    <s v="Low rating"/>
    <x v="1"/>
  </r>
  <r>
    <x v="223"/>
    <x v="1"/>
    <x v="4"/>
    <x v="1"/>
    <n v="30"/>
    <x v="213"/>
    <x v="1"/>
    <n v="42688"/>
    <x v="1"/>
    <n v="2"/>
    <m/>
    <s v="Menior"/>
    <s v="Low rating"/>
    <x v="1"/>
  </r>
  <r>
    <x v="224"/>
    <x v="4"/>
    <x v="0"/>
    <x v="1"/>
    <n v="48"/>
    <x v="214"/>
    <x v="104"/>
    <n v="56707"/>
    <x v="0"/>
    <n v="5"/>
    <n v="2.5342465753424657"/>
    <s v="Senior"/>
    <s v="High rating"/>
    <x v="2"/>
  </r>
  <r>
    <x v="225"/>
    <x v="0"/>
    <x v="1"/>
    <x v="1"/>
    <n v="25"/>
    <x v="215"/>
    <x v="105"/>
    <n v="112225"/>
    <x v="0"/>
    <n v="3"/>
    <n v="1.5068493150684932"/>
    <s v="Fresher"/>
    <s v="Medium rating"/>
    <x v="0"/>
  </r>
  <r>
    <x v="226"/>
    <x v="7"/>
    <x v="4"/>
    <x v="1"/>
    <n v="29"/>
    <x v="216"/>
    <x v="106"/>
    <n v="25421"/>
    <x v="0"/>
    <n v="2"/>
    <n v="0.50136986301369868"/>
    <s v="Fresher"/>
    <s v="Low rating"/>
    <x v="0"/>
  </r>
  <r>
    <x v="227"/>
    <x v="7"/>
    <x v="4"/>
    <x v="1"/>
    <n v="33"/>
    <x v="217"/>
    <x v="1"/>
    <n v="26687"/>
    <x v="1"/>
    <n v="4"/>
    <m/>
    <s v="Menior"/>
    <s v="Medium rating"/>
    <x v="1"/>
  </r>
  <r>
    <x v="228"/>
    <x v="0"/>
    <x v="2"/>
    <x v="0"/>
    <n v="29"/>
    <x v="218"/>
    <x v="1"/>
    <n v="56668"/>
    <x v="1"/>
    <n v="3"/>
    <m/>
    <s v="Fresher"/>
    <s v="Medium rating"/>
    <x v="1"/>
  </r>
  <r>
    <x v="229"/>
    <x v="8"/>
    <x v="2"/>
    <x v="1"/>
    <n v="46"/>
    <x v="150"/>
    <x v="1"/>
    <n v="37127"/>
    <x v="1"/>
    <n v="4"/>
    <m/>
    <s v="Senior"/>
    <s v="Medium rating"/>
    <x v="1"/>
  </r>
  <r>
    <x v="230"/>
    <x v="0"/>
    <x v="4"/>
    <x v="1"/>
    <n v="24"/>
    <x v="219"/>
    <x v="107"/>
    <n v="101801"/>
    <x v="0"/>
    <n v="5"/>
    <n v="3.1232876712328768"/>
    <s v="Fresher"/>
    <s v="High rating"/>
    <x v="2"/>
  </r>
  <r>
    <x v="231"/>
    <x v="3"/>
    <x v="4"/>
    <x v="0"/>
    <n v="26"/>
    <x v="220"/>
    <x v="108"/>
    <n v="78924"/>
    <x v="0"/>
    <n v="2"/>
    <n v="3.8136986301369862"/>
    <s v="Fresher"/>
    <s v="Low rating"/>
    <x v="2"/>
  </r>
  <r>
    <x v="232"/>
    <x v="0"/>
    <x v="0"/>
    <x v="1"/>
    <n v="33"/>
    <x v="221"/>
    <x v="109"/>
    <n v="107162"/>
    <x v="0"/>
    <n v="2"/>
    <n v="1.0027397260273974"/>
    <s v="Menior"/>
    <s v="Low rating"/>
    <x v="0"/>
  </r>
  <r>
    <x v="233"/>
    <x v="3"/>
    <x v="3"/>
    <x v="0"/>
    <n v="27"/>
    <x v="222"/>
    <x v="110"/>
    <n v="108034"/>
    <x v="0"/>
    <n v="1"/>
    <n v="1.7972602739726027"/>
    <s v="Fresher"/>
    <s v="Low rating"/>
    <x v="0"/>
  </r>
  <r>
    <x v="234"/>
    <x v="8"/>
    <x v="3"/>
    <x v="0"/>
    <n v="50"/>
    <x v="223"/>
    <x v="1"/>
    <n v="71857"/>
    <x v="1"/>
    <n v="4"/>
    <m/>
    <s v="Senior"/>
    <s v="Medium rating"/>
    <x v="1"/>
  </r>
  <r>
    <x v="235"/>
    <x v="5"/>
    <x v="3"/>
    <x v="0"/>
    <n v="30"/>
    <x v="224"/>
    <x v="111"/>
    <n v="26415"/>
    <x v="0"/>
    <n v="4"/>
    <n v="4.0602739726027401"/>
    <s v="Menior"/>
    <s v="Medium rating"/>
    <x v="2"/>
  </r>
  <r>
    <x v="236"/>
    <x v="7"/>
    <x v="1"/>
    <x v="1"/>
    <n v="38"/>
    <x v="225"/>
    <x v="112"/>
    <n v="114608"/>
    <x v="0"/>
    <n v="5"/>
    <n v="3.452054794520548"/>
    <s v="Menior"/>
    <s v="High rating"/>
    <x v="2"/>
  </r>
  <r>
    <x v="237"/>
    <x v="9"/>
    <x v="3"/>
    <x v="1"/>
    <n v="35"/>
    <x v="65"/>
    <x v="113"/>
    <n v="115200"/>
    <x v="0"/>
    <n v="5"/>
    <n v="1.6082191780821917"/>
    <s v="Menior"/>
    <s v="High rating"/>
    <x v="0"/>
  </r>
  <r>
    <x v="238"/>
    <x v="4"/>
    <x v="3"/>
    <x v="0"/>
    <n v="36"/>
    <x v="226"/>
    <x v="1"/>
    <n v="86188"/>
    <x v="1"/>
    <n v="3"/>
    <m/>
    <s v="Menior"/>
    <s v="Medium rating"/>
    <x v="1"/>
  </r>
  <r>
    <x v="239"/>
    <x v="4"/>
    <x v="2"/>
    <x v="0"/>
    <n v="36"/>
    <x v="227"/>
    <x v="1"/>
    <n v="40351"/>
    <x v="1"/>
    <n v="4"/>
    <m/>
    <s v="Menior"/>
    <s v="Medium rating"/>
    <x v="1"/>
  </r>
  <r>
    <x v="240"/>
    <x v="0"/>
    <x v="0"/>
    <x v="1"/>
    <n v="23"/>
    <x v="228"/>
    <x v="114"/>
    <n v="80023"/>
    <x v="0"/>
    <n v="3"/>
    <n v="1.6109589041095891"/>
    <s v="Fresher"/>
    <s v="Medium rating"/>
    <x v="0"/>
  </r>
  <r>
    <x v="241"/>
    <x v="3"/>
    <x v="0"/>
    <x v="0"/>
    <n v="31"/>
    <x v="229"/>
    <x v="115"/>
    <n v="53272"/>
    <x v="0"/>
    <n v="3"/>
    <n v="3.0191780821917806"/>
    <s v="Menior"/>
    <s v="Medium rating"/>
    <x v="2"/>
  </r>
  <r>
    <x v="242"/>
    <x v="4"/>
    <x v="0"/>
    <x v="0"/>
    <n v="24"/>
    <x v="230"/>
    <x v="116"/>
    <n v="54136"/>
    <x v="0"/>
    <n v="1"/>
    <n v="2.8767123287671232"/>
    <s v="Fresher"/>
    <s v="Low rating"/>
    <x v="2"/>
  </r>
  <r>
    <x v="243"/>
    <x v="0"/>
    <x v="4"/>
    <x v="0"/>
    <n v="26"/>
    <x v="231"/>
    <x v="1"/>
    <n v="119991"/>
    <x v="1"/>
    <n v="1"/>
    <m/>
    <s v="Fresher"/>
    <s v="Low rating"/>
    <x v="1"/>
  </r>
  <r>
    <x v="244"/>
    <x v="6"/>
    <x v="1"/>
    <x v="0"/>
    <n v="38"/>
    <x v="232"/>
    <x v="1"/>
    <n v="75543"/>
    <x v="1"/>
    <n v="3"/>
    <m/>
    <s v="Menior"/>
    <s v="Medium rating"/>
    <x v="1"/>
  </r>
  <r>
    <x v="245"/>
    <x v="6"/>
    <x v="2"/>
    <x v="0"/>
    <n v="39"/>
    <x v="233"/>
    <x v="1"/>
    <n v="43870"/>
    <x v="1"/>
    <n v="5"/>
    <m/>
    <s v="Menior"/>
    <s v="High rating"/>
    <x v="1"/>
  </r>
  <r>
    <x v="246"/>
    <x v="2"/>
    <x v="1"/>
    <x v="1"/>
    <n v="45"/>
    <x v="234"/>
    <x v="1"/>
    <n v="118157"/>
    <x v="1"/>
    <n v="4"/>
    <m/>
    <s v="Senior"/>
    <s v="Medium rating"/>
    <x v="1"/>
  </r>
  <r>
    <x v="247"/>
    <x v="2"/>
    <x v="4"/>
    <x v="0"/>
    <n v="24"/>
    <x v="235"/>
    <x v="117"/>
    <n v="28930"/>
    <x v="0"/>
    <n v="2"/>
    <n v="3.1205479452054794"/>
    <s v="Fresher"/>
    <s v="Low rating"/>
    <x v="2"/>
  </r>
  <r>
    <x v="248"/>
    <x v="3"/>
    <x v="0"/>
    <x v="1"/>
    <n v="49"/>
    <x v="236"/>
    <x v="118"/>
    <n v="104818"/>
    <x v="0"/>
    <n v="3"/>
    <n v="2.2547945205479452"/>
    <s v="Senior"/>
    <s v="Medium rating"/>
    <x v="2"/>
  </r>
  <r>
    <x v="249"/>
    <x v="8"/>
    <x v="2"/>
    <x v="1"/>
    <n v="25"/>
    <x v="237"/>
    <x v="119"/>
    <n v="31666"/>
    <x v="0"/>
    <n v="1"/>
    <n v="2.5561643835616437"/>
    <s v="Fresher"/>
    <s v="Low rating"/>
    <x v="2"/>
  </r>
  <r>
    <x v="250"/>
    <x v="3"/>
    <x v="2"/>
    <x v="1"/>
    <n v="34"/>
    <x v="238"/>
    <x v="1"/>
    <n v="73954"/>
    <x v="1"/>
    <n v="5"/>
    <m/>
    <s v="Menior"/>
    <s v="High rating"/>
    <x v="1"/>
  </r>
  <r>
    <x v="251"/>
    <x v="2"/>
    <x v="0"/>
    <x v="1"/>
    <n v="47"/>
    <x v="111"/>
    <x v="120"/>
    <n v="32176"/>
    <x v="0"/>
    <n v="1"/>
    <n v="1.6684931506849314"/>
    <s v="Senior"/>
    <s v="Low rating"/>
    <x v="0"/>
  </r>
  <r>
    <x v="252"/>
    <x v="1"/>
    <x v="4"/>
    <x v="1"/>
    <n v="35"/>
    <x v="239"/>
    <x v="1"/>
    <n v="102071"/>
    <x v="1"/>
    <n v="4"/>
    <m/>
    <s v="Menior"/>
    <s v="Medium rating"/>
    <x v="1"/>
  </r>
  <r>
    <x v="253"/>
    <x v="1"/>
    <x v="1"/>
    <x v="1"/>
    <n v="40"/>
    <x v="240"/>
    <x v="121"/>
    <n v="28918"/>
    <x v="0"/>
    <n v="5"/>
    <n v="1.1452054794520548"/>
    <s v="Senior"/>
    <s v="High rating"/>
    <x v="0"/>
  </r>
  <r>
    <x v="254"/>
    <x v="8"/>
    <x v="4"/>
    <x v="0"/>
    <n v="33"/>
    <x v="190"/>
    <x v="122"/>
    <n v="48573"/>
    <x v="0"/>
    <n v="4"/>
    <n v="3.0410958904109591"/>
    <s v="Menior"/>
    <s v="Medium rating"/>
    <x v="2"/>
  </r>
  <r>
    <x v="255"/>
    <x v="8"/>
    <x v="1"/>
    <x v="1"/>
    <n v="30"/>
    <x v="241"/>
    <x v="1"/>
    <n v="40817"/>
    <x v="1"/>
    <n v="5"/>
    <m/>
    <s v="Menior"/>
    <s v="High rating"/>
    <x v="1"/>
  </r>
  <r>
    <x v="256"/>
    <x v="7"/>
    <x v="0"/>
    <x v="0"/>
    <n v="26"/>
    <x v="242"/>
    <x v="123"/>
    <n v="95453"/>
    <x v="0"/>
    <n v="2"/>
    <n v="1.7972602739726027"/>
    <s v="Fresher"/>
    <s v="Low rating"/>
    <x v="0"/>
  </r>
  <r>
    <x v="257"/>
    <x v="0"/>
    <x v="2"/>
    <x v="1"/>
    <n v="40"/>
    <x v="243"/>
    <x v="124"/>
    <n v="39758"/>
    <x v="0"/>
    <n v="2"/>
    <n v="1.0438356164383562"/>
    <s v="Senior"/>
    <s v="Low rating"/>
    <x v="0"/>
  </r>
  <r>
    <x v="258"/>
    <x v="2"/>
    <x v="3"/>
    <x v="1"/>
    <n v="43"/>
    <x v="244"/>
    <x v="1"/>
    <n v="116056"/>
    <x v="1"/>
    <n v="2"/>
    <m/>
    <s v="Senior"/>
    <s v="Low rating"/>
    <x v="1"/>
  </r>
  <r>
    <x v="259"/>
    <x v="3"/>
    <x v="2"/>
    <x v="1"/>
    <n v="46"/>
    <x v="245"/>
    <x v="125"/>
    <n v="98914"/>
    <x v="0"/>
    <n v="5"/>
    <n v="1.5643835616438355"/>
    <s v="Senior"/>
    <s v="High rating"/>
    <x v="0"/>
  </r>
  <r>
    <x v="260"/>
    <x v="5"/>
    <x v="4"/>
    <x v="0"/>
    <n v="33"/>
    <x v="246"/>
    <x v="126"/>
    <n v="32507"/>
    <x v="0"/>
    <n v="4"/>
    <n v="4.0356164383561648"/>
    <s v="Menior"/>
    <s v="Medium rating"/>
    <x v="2"/>
  </r>
  <r>
    <x v="261"/>
    <x v="7"/>
    <x v="2"/>
    <x v="0"/>
    <n v="40"/>
    <x v="247"/>
    <x v="127"/>
    <n v="101290"/>
    <x v="0"/>
    <n v="2"/>
    <n v="3.5178082191780824"/>
    <s v="Senior"/>
    <s v="Low rating"/>
    <x v="2"/>
  </r>
  <r>
    <x v="262"/>
    <x v="8"/>
    <x v="1"/>
    <x v="0"/>
    <n v="45"/>
    <x v="248"/>
    <x v="1"/>
    <n v="27487"/>
    <x v="1"/>
    <n v="3"/>
    <m/>
    <s v="Senior"/>
    <s v="Medium rating"/>
    <x v="1"/>
  </r>
  <r>
    <x v="263"/>
    <x v="2"/>
    <x v="3"/>
    <x v="1"/>
    <n v="49"/>
    <x v="191"/>
    <x v="58"/>
    <n v="27633"/>
    <x v="0"/>
    <n v="4"/>
    <n v="3.6904109589041094"/>
    <s v="Senior"/>
    <s v="Medium rating"/>
    <x v="2"/>
  </r>
  <r>
    <x v="264"/>
    <x v="9"/>
    <x v="4"/>
    <x v="1"/>
    <n v="40"/>
    <x v="46"/>
    <x v="128"/>
    <n v="40272"/>
    <x v="0"/>
    <n v="2"/>
    <n v="0.9506849315068493"/>
    <s v="Senior"/>
    <s v="Low rating"/>
    <x v="0"/>
  </r>
  <r>
    <x v="265"/>
    <x v="0"/>
    <x v="2"/>
    <x v="1"/>
    <n v="34"/>
    <x v="249"/>
    <x v="129"/>
    <n v="92529"/>
    <x v="0"/>
    <n v="2"/>
    <n v="3.2767123287671232"/>
    <s v="Menior"/>
    <s v="Low rating"/>
    <x v="2"/>
  </r>
  <r>
    <x v="266"/>
    <x v="7"/>
    <x v="4"/>
    <x v="0"/>
    <n v="50"/>
    <x v="250"/>
    <x v="130"/>
    <n v="67213"/>
    <x v="0"/>
    <n v="1"/>
    <n v="3.6931506849315068"/>
    <s v="Senior"/>
    <s v="Low rating"/>
    <x v="2"/>
  </r>
  <r>
    <x v="267"/>
    <x v="8"/>
    <x v="2"/>
    <x v="0"/>
    <n v="39"/>
    <x v="251"/>
    <x v="131"/>
    <n v="34575"/>
    <x v="0"/>
    <n v="2"/>
    <n v="1.5506849315068494"/>
    <s v="Menior"/>
    <s v="Low rating"/>
    <x v="0"/>
  </r>
  <r>
    <x v="268"/>
    <x v="2"/>
    <x v="1"/>
    <x v="0"/>
    <n v="36"/>
    <x v="252"/>
    <x v="1"/>
    <n v="54486"/>
    <x v="1"/>
    <n v="2"/>
    <m/>
    <s v="Menior"/>
    <s v="Low rating"/>
    <x v="1"/>
  </r>
  <r>
    <x v="269"/>
    <x v="7"/>
    <x v="4"/>
    <x v="0"/>
    <n v="24"/>
    <x v="253"/>
    <x v="1"/>
    <n v="98984"/>
    <x v="1"/>
    <n v="4"/>
    <m/>
    <s v="Fresher"/>
    <s v="Medium rating"/>
    <x v="1"/>
  </r>
  <r>
    <x v="270"/>
    <x v="3"/>
    <x v="1"/>
    <x v="1"/>
    <n v="34"/>
    <x v="254"/>
    <x v="132"/>
    <n v="82493"/>
    <x v="0"/>
    <n v="5"/>
    <n v="3.3643835616438356"/>
    <s v="Menior"/>
    <s v="High rating"/>
    <x v="2"/>
  </r>
  <r>
    <x v="271"/>
    <x v="2"/>
    <x v="1"/>
    <x v="1"/>
    <n v="35"/>
    <x v="255"/>
    <x v="133"/>
    <n v="80918"/>
    <x v="0"/>
    <n v="1"/>
    <n v="1.7917808219178082"/>
    <s v="Menior"/>
    <s v="Low rating"/>
    <x v="0"/>
  </r>
  <r>
    <x v="272"/>
    <x v="3"/>
    <x v="3"/>
    <x v="0"/>
    <n v="44"/>
    <x v="227"/>
    <x v="134"/>
    <n v="81547"/>
    <x v="0"/>
    <n v="5"/>
    <n v="3.8684931506849316"/>
    <s v="Senior"/>
    <s v="High rating"/>
    <x v="2"/>
  </r>
  <r>
    <x v="273"/>
    <x v="2"/>
    <x v="2"/>
    <x v="1"/>
    <n v="23"/>
    <x v="256"/>
    <x v="135"/>
    <n v="54984"/>
    <x v="0"/>
    <n v="5"/>
    <n v="1.1397260273972603"/>
    <s v="Fresher"/>
    <s v="High rating"/>
    <x v="0"/>
  </r>
  <r>
    <x v="274"/>
    <x v="3"/>
    <x v="3"/>
    <x v="1"/>
    <n v="39"/>
    <x v="257"/>
    <x v="136"/>
    <n v="76237"/>
    <x v="0"/>
    <n v="2"/>
    <n v="0.35890410958904112"/>
    <s v="Menior"/>
    <s v="Low rating"/>
    <x v="0"/>
  </r>
  <r>
    <x v="275"/>
    <x v="4"/>
    <x v="3"/>
    <x v="0"/>
    <n v="30"/>
    <x v="258"/>
    <x v="1"/>
    <n v="92324"/>
    <x v="1"/>
    <n v="2"/>
    <m/>
    <s v="Menior"/>
    <s v="Low rating"/>
    <x v="1"/>
  </r>
  <r>
    <x v="276"/>
    <x v="4"/>
    <x v="1"/>
    <x v="1"/>
    <n v="40"/>
    <x v="259"/>
    <x v="137"/>
    <n v="82778"/>
    <x v="0"/>
    <n v="5"/>
    <n v="2.3068493150684932"/>
    <s v="Senior"/>
    <s v="High rating"/>
    <x v="2"/>
  </r>
  <r>
    <x v="277"/>
    <x v="5"/>
    <x v="3"/>
    <x v="0"/>
    <n v="37"/>
    <x v="260"/>
    <x v="138"/>
    <n v="69936"/>
    <x v="0"/>
    <n v="1"/>
    <n v="1.3260273972602741"/>
    <s v="Menior"/>
    <s v="Low rating"/>
    <x v="0"/>
  </r>
  <r>
    <x v="278"/>
    <x v="0"/>
    <x v="4"/>
    <x v="1"/>
    <n v="29"/>
    <x v="38"/>
    <x v="1"/>
    <n v="44966"/>
    <x v="1"/>
    <n v="1"/>
    <m/>
    <s v="Fresher"/>
    <s v="Low rating"/>
    <x v="1"/>
  </r>
  <r>
    <x v="279"/>
    <x v="7"/>
    <x v="1"/>
    <x v="0"/>
    <n v="42"/>
    <x v="261"/>
    <x v="1"/>
    <n v="48685"/>
    <x v="1"/>
    <n v="4"/>
    <m/>
    <s v="Senior"/>
    <s v="Medium rating"/>
    <x v="1"/>
  </r>
  <r>
    <x v="280"/>
    <x v="9"/>
    <x v="4"/>
    <x v="0"/>
    <n v="33"/>
    <x v="262"/>
    <x v="1"/>
    <n v="106001"/>
    <x v="1"/>
    <n v="1"/>
    <m/>
    <s v="Menior"/>
    <s v="Low rating"/>
    <x v="1"/>
  </r>
  <r>
    <x v="281"/>
    <x v="3"/>
    <x v="4"/>
    <x v="1"/>
    <n v="41"/>
    <x v="263"/>
    <x v="139"/>
    <n v="41525"/>
    <x v="0"/>
    <n v="2"/>
    <n v="1.9671232876712328"/>
    <s v="Senior"/>
    <s v="Low rating"/>
    <x v="0"/>
  </r>
  <r>
    <x v="282"/>
    <x v="7"/>
    <x v="3"/>
    <x v="1"/>
    <n v="44"/>
    <x v="264"/>
    <x v="140"/>
    <n v="46166"/>
    <x v="0"/>
    <n v="2"/>
    <n v="3.0876712328767124"/>
    <s v="Senior"/>
    <s v="Low rating"/>
    <x v="2"/>
  </r>
  <r>
    <x v="283"/>
    <x v="1"/>
    <x v="1"/>
    <x v="0"/>
    <n v="36"/>
    <x v="86"/>
    <x v="1"/>
    <n v="104193"/>
    <x v="1"/>
    <n v="5"/>
    <m/>
    <s v="Menior"/>
    <s v="High rating"/>
    <x v="1"/>
  </r>
  <r>
    <x v="284"/>
    <x v="4"/>
    <x v="0"/>
    <x v="1"/>
    <n v="39"/>
    <x v="265"/>
    <x v="1"/>
    <n v="98350"/>
    <x v="1"/>
    <n v="4"/>
    <m/>
    <s v="Menior"/>
    <s v="Medium rating"/>
    <x v="1"/>
  </r>
  <r>
    <x v="285"/>
    <x v="4"/>
    <x v="2"/>
    <x v="1"/>
    <n v="33"/>
    <x v="266"/>
    <x v="141"/>
    <n v="63164"/>
    <x v="0"/>
    <n v="5"/>
    <n v="0.30410958904109592"/>
    <s v="Menior"/>
    <s v="High rating"/>
    <x v="0"/>
  </r>
  <r>
    <x v="286"/>
    <x v="7"/>
    <x v="0"/>
    <x v="0"/>
    <n v="31"/>
    <x v="267"/>
    <x v="142"/>
    <n v="71819"/>
    <x v="0"/>
    <n v="2"/>
    <n v="1.3287671232876712"/>
    <s v="Menior"/>
    <s v="Low rating"/>
    <x v="0"/>
  </r>
  <r>
    <x v="287"/>
    <x v="8"/>
    <x v="2"/>
    <x v="1"/>
    <n v="30"/>
    <x v="268"/>
    <x v="1"/>
    <n v="92575"/>
    <x v="1"/>
    <n v="3"/>
    <m/>
    <s v="Menior"/>
    <s v="Medium rating"/>
    <x v="1"/>
  </r>
  <r>
    <x v="288"/>
    <x v="5"/>
    <x v="2"/>
    <x v="0"/>
    <n v="32"/>
    <x v="269"/>
    <x v="62"/>
    <n v="87256"/>
    <x v="0"/>
    <n v="1"/>
    <n v="2.8657534246575342"/>
    <s v="Menior"/>
    <s v="Low rating"/>
    <x v="2"/>
  </r>
  <r>
    <x v="289"/>
    <x v="6"/>
    <x v="0"/>
    <x v="1"/>
    <n v="28"/>
    <x v="270"/>
    <x v="1"/>
    <n v="109542"/>
    <x v="1"/>
    <n v="4"/>
    <m/>
    <s v="Fresher"/>
    <s v="Medium rating"/>
    <x v="1"/>
  </r>
  <r>
    <x v="290"/>
    <x v="3"/>
    <x v="3"/>
    <x v="1"/>
    <n v="45"/>
    <x v="271"/>
    <x v="143"/>
    <n v="116779"/>
    <x v="0"/>
    <n v="4"/>
    <n v="0.23835616438356164"/>
    <s v="Senior"/>
    <s v="Medium rating"/>
    <x v="0"/>
  </r>
  <r>
    <x v="291"/>
    <x v="4"/>
    <x v="1"/>
    <x v="1"/>
    <n v="46"/>
    <x v="272"/>
    <x v="8"/>
    <n v="61909"/>
    <x v="0"/>
    <n v="4"/>
    <n v="1.263013698630137"/>
    <s v="Senior"/>
    <s v="Medium rating"/>
    <x v="0"/>
  </r>
  <r>
    <x v="292"/>
    <x v="9"/>
    <x v="4"/>
    <x v="1"/>
    <n v="33"/>
    <x v="273"/>
    <x v="144"/>
    <n v="116527"/>
    <x v="0"/>
    <n v="2"/>
    <n v="0.9178082191780822"/>
    <s v="Menior"/>
    <s v="Low rating"/>
    <x v="0"/>
  </r>
  <r>
    <x v="293"/>
    <x v="0"/>
    <x v="4"/>
    <x v="0"/>
    <n v="38"/>
    <x v="274"/>
    <x v="1"/>
    <n v="99404"/>
    <x v="1"/>
    <n v="3"/>
    <m/>
    <s v="Menior"/>
    <s v="Medium rating"/>
    <x v="1"/>
  </r>
  <r>
    <x v="294"/>
    <x v="4"/>
    <x v="2"/>
    <x v="1"/>
    <n v="32"/>
    <x v="275"/>
    <x v="26"/>
    <n v="35468"/>
    <x v="0"/>
    <n v="2"/>
    <n v="1.106849315068493"/>
    <s v="Menior"/>
    <s v="Low rating"/>
    <x v="0"/>
  </r>
  <r>
    <x v="295"/>
    <x v="7"/>
    <x v="0"/>
    <x v="1"/>
    <n v="24"/>
    <x v="276"/>
    <x v="145"/>
    <n v="50952"/>
    <x v="0"/>
    <n v="5"/>
    <n v="2.6986301369863015"/>
    <s v="Fresher"/>
    <s v="High rating"/>
    <x v="2"/>
  </r>
  <r>
    <x v="296"/>
    <x v="2"/>
    <x v="4"/>
    <x v="0"/>
    <n v="38"/>
    <x v="277"/>
    <x v="146"/>
    <n v="80741"/>
    <x v="0"/>
    <n v="5"/>
    <n v="0.19452054794520549"/>
    <s v="Menior"/>
    <s v="High rating"/>
    <x v="0"/>
  </r>
  <r>
    <x v="297"/>
    <x v="6"/>
    <x v="2"/>
    <x v="1"/>
    <n v="27"/>
    <x v="278"/>
    <x v="1"/>
    <n v="74080"/>
    <x v="1"/>
    <n v="5"/>
    <m/>
    <s v="Fresher"/>
    <s v="High rating"/>
    <x v="1"/>
  </r>
  <r>
    <x v="298"/>
    <x v="4"/>
    <x v="3"/>
    <x v="1"/>
    <n v="47"/>
    <x v="279"/>
    <x v="1"/>
    <n v="46330"/>
    <x v="1"/>
    <n v="2"/>
    <m/>
    <s v="Senior"/>
    <s v="Low rating"/>
    <x v="1"/>
  </r>
  <r>
    <x v="299"/>
    <x v="5"/>
    <x v="3"/>
    <x v="0"/>
    <n v="31"/>
    <x v="280"/>
    <x v="147"/>
    <n v="93176"/>
    <x v="0"/>
    <n v="4"/>
    <n v="0.49589041095890413"/>
    <s v="Menior"/>
    <s v="Medium rating"/>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001"/>
    <s v="Anjali"/>
    <x v="0"/>
    <x v="0"/>
    <x v="0"/>
    <s v="2016-05-21"/>
    <s v="2017-11-30"/>
    <n v="113869"/>
    <x v="0"/>
    <n v="1"/>
    <x v="0"/>
    <s v="Fresher"/>
    <x v="0"/>
    <s v="yes"/>
    <x v="0"/>
    <x v="0"/>
    <n v="151"/>
  </r>
  <r>
    <s v="E002"/>
    <s v="Priya"/>
    <x v="1"/>
    <x v="1"/>
    <x v="1"/>
    <s v="2018-06-12"/>
    <m/>
    <n v="31939"/>
    <x v="1"/>
    <n v="2"/>
    <x v="1"/>
    <s v="Senior"/>
    <x v="0"/>
    <m/>
    <x v="1"/>
    <x v="1"/>
    <m/>
  </r>
  <r>
    <s v="E003"/>
    <s v="Priya"/>
    <x v="2"/>
    <x v="1"/>
    <x v="2"/>
    <s v="2015-12-25"/>
    <m/>
    <n v="85304"/>
    <x v="1"/>
    <n v="4"/>
    <x v="1"/>
    <s v="Fresher"/>
    <x v="1"/>
    <m/>
    <x v="2"/>
    <x v="1"/>
    <m/>
  </r>
  <r>
    <s v="E004"/>
    <s v="Anjali"/>
    <x v="3"/>
    <x v="1"/>
    <x v="3"/>
    <s v="2016-02-14"/>
    <s v="2016-04-19"/>
    <n v="26432"/>
    <x v="0"/>
    <n v="5"/>
    <x v="2"/>
    <s v="Fresher"/>
    <x v="2"/>
    <s v="yes"/>
    <x v="0"/>
    <x v="1"/>
    <m/>
  </r>
  <r>
    <s v="E005"/>
    <s v="Priya"/>
    <x v="1"/>
    <x v="0"/>
    <x v="4"/>
    <s v="2015-08-11"/>
    <m/>
    <n v="115816"/>
    <x v="1"/>
    <n v="2"/>
    <x v="1"/>
    <s v="Fresher"/>
    <x v="0"/>
    <m/>
    <x v="2"/>
    <x v="1"/>
    <m/>
  </r>
  <r>
    <s v="E006"/>
    <s v="Neha"/>
    <x v="4"/>
    <x v="1"/>
    <x v="5"/>
    <s v="2015-09-26"/>
    <m/>
    <n v="73467"/>
    <x v="1"/>
    <n v="3"/>
    <x v="1"/>
    <s v="Fresher"/>
    <x v="1"/>
    <m/>
    <x v="2"/>
    <x v="1"/>
    <m/>
  </r>
  <r>
    <s v="E007"/>
    <s v="Rahul"/>
    <x v="1"/>
    <x v="1"/>
    <x v="6"/>
    <s v="2017-02-26"/>
    <m/>
    <n v="30425"/>
    <x v="1"/>
    <n v="5"/>
    <x v="1"/>
    <s v="Menior"/>
    <x v="2"/>
    <m/>
    <x v="3"/>
    <x v="1"/>
    <m/>
  </r>
  <r>
    <s v="E008"/>
    <s v="Sneha"/>
    <x v="3"/>
    <x v="0"/>
    <x v="7"/>
    <s v="2018-06-13"/>
    <s v="2019-09-26"/>
    <n v="63115"/>
    <x v="0"/>
    <n v="3"/>
    <x v="3"/>
    <s v="Menior"/>
    <x v="1"/>
    <s v="yes"/>
    <x v="1"/>
    <x v="1"/>
    <m/>
  </r>
  <r>
    <s v="E009"/>
    <s v="Rohit"/>
    <x v="3"/>
    <x v="0"/>
    <x v="8"/>
    <s v="2017-01-26"/>
    <s v="2017-07-31"/>
    <n v="39535"/>
    <x v="0"/>
    <n v="3"/>
    <x v="4"/>
    <s v="Menior"/>
    <x v="1"/>
    <s v="yes"/>
    <x v="3"/>
    <x v="1"/>
    <m/>
  </r>
  <r>
    <s v="E010"/>
    <s v="Priya"/>
    <x v="2"/>
    <x v="1"/>
    <x v="1"/>
    <s v="2016-12-31"/>
    <m/>
    <n v="32003"/>
    <x v="1"/>
    <n v="2"/>
    <x v="1"/>
    <s v="Senior"/>
    <x v="0"/>
    <m/>
    <x v="0"/>
    <x v="1"/>
    <m/>
  </r>
  <r>
    <s v="E011"/>
    <s v="Priya"/>
    <x v="0"/>
    <x v="1"/>
    <x v="9"/>
    <s v="2019-09-19"/>
    <m/>
    <n v="89966"/>
    <x v="1"/>
    <n v="4"/>
    <x v="1"/>
    <s v="Menior"/>
    <x v="1"/>
    <m/>
    <x v="4"/>
    <x v="1"/>
    <m/>
  </r>
  <r>
    <s v="E012"/>
    <s v="Amit"/>
    <x v="0"/>
    <x v="1"/>
    <x v="5"/>
    <s v="2021-07-03"/>
    <m/>
    <n v="76221"/>
    <x v="1"/>
    <n v="1"/>
    <x v="1"/>
    <s v="Fresher"/>
    <x v="0"/>
    <m/>
    <x v="5"/>
    <x v="1"/>
    <m/>
  </r>
  <r>
    <s v="E013"/>
    <s v="Rahul"/>
    <x v="2"/>
    <x v="0"/>
    <x v="10"/>
    <s v="2016-08-30"/>
    <s v="2020-02-16"/>
    <n v="106904"/>
    <x v="0"/>
    <n v="4"/>
    <x v="5"/>
    <s v="Menior"/>
    <x v="1"/>
    <s v="no"/>
    <x v="0"/>
    <x v="1"/>
    <m/>
  </r>
  <r>
    <s v="E014"/>
    <s v="Arjun"/>
    <x v="4"/>
    <x v="1"/>
    <x v="11"/>
    <s v="2022-07-10"/>
    <m/>
    <n v="53650"/>
    <x v="1"/>
    <n v="3"/>
    <x v="1"/>
    <s v="Senior"/>
    <x v="1"/>
    <m/>
    <x v="6"/>
    <x v="1"/>
    <m/>
  </r>
  <r>
    <s v="E015"/>
    <s v="Priya"/>
    <x v="1"/>
    <x v="1"/>
    <x v="3"/>
    <s v="2017-03-29"/>
    <s v="2018-06-26"/>
    <n v="75411"/>
    <x v="0"/>
    <n v="5"/>
    <x v="6"/>
    <s v="Fresher"/>
    <x v="2"/>
    <s v="yes"/>
    <x v="3"/>
    <x v="1"/>
    <m/>
  </r>
  <r>
    <s v="E016"/>
    <s v="Arjun"/>
    <x v="3"/>
    <x v="0"/>
    <x v="8"/>
    <s v="2020-12-21"/>
    <m/>
    <n v="27620"/>
    <x v="1"/>
    <n v="2"/>
    <x v="1"/>
    <s v="Menior"/>
    <x v="0"/>
    <m/>
    <x v="7"/>
    <x v="1"/>
    <m/>
  </r>
  <r>
    <s v="E017"/>
    <s v="Anjali"/>
    <x v="1"/>
    <x v="0"/>
    <x v="5"/>
    <s v="2016-09-25"/>
    <s v="2019-11-03"/>
    <n v="85021"/>
    <x v="0"/>
    <n v="5"/>
    <x v="7"/>
    <s v="Fresher"/>
    <x v="2"/>
    <s v="no"/>
    <x v="0"/>
    <x v="1"/>
    <m/>
  </r>
  <r>
    <s v="E018"/>
    <s v="Neha"/>
    <x v="1"/>
    <x v="0"/>
    <x v="4"/>
    <s v="2020-02-11"/>
    <m/>
    <n v="64693"/>
    <x v="1"/>
    <n v="3"/>
    <x v="1"/>
    <s v="Fresher"/>
    <x v="1"/>
    <m/>
    <x v="7"/>
    <x v="1"/>
    <m/>
  </r>
  <r>
    <s v="E019"/>
    <s v="Rohit"/>
    <x v="4"/>
    <x v="0"/>
    <x v="2"/>
    <s v="2019-06-07"/>
    <m/>
    <n v="79717"/>
    <x v="1"/>
    <n v="1"/>
    <x v="1"/>
    <s v="Fresher"/>
    <x v="0"/>
    <m/>
    <x v="4"/>
    <x v="1"/>
    <m/>
  </r>
  <r>
    <s v="E020"/>
    <s v="Pooja"/>
    <x v="4"/>
    <x v="1"/>
    <x v="12"/>
    <s v="2019-02-18"/>
    <m/>
    <n v="71721"/>
    <x v="1"/>
    <n v="1"/>
    <x v="1"/>
    <s v="Menior"/>
    <x v="0"/>
    <m/>
    <x v="4"/>
    <x v="1"/>
    <m/>
  </r>
  <r>
    <s v="E021"/>
    <s v="Rohit"/>
    <x v="1"/>
    <x v="1"/>
    <x v="13"/>
    <s v="2021-05-07"/>
    <m/>
    <n v="84541"/>
    <x v="1"/>
    <n v="5"/>
    <x v="1"/>
    <s v="Senior"/>
    <x v="2"/>
    <m/>
    <x v="5"/>
    <x v="1"/>
    <m/>
  </r>
  <r>
    <s v="E022"/>
    <s v="Rahul"/>
    <x v="2"/>
    <x v="0"/>
    <x v="13"/>
    <s v="2019-01-17"/>
    <s v="2022-06-09"/>
    <n v="61842"/>
    <x v="0"/>
    <n v="4"/>
    <x v="8"/>
    <s v="Senior"/>
    <x v="1"/>
    <s v="no"/>
    <x v="4"/>
    <x v="1"/>
    <m/>
  </r>
  <r>
    <s v="E023"/>
    <s v="Rohit"/>
    <x v="2"/>
    <x v="1"/>
    <x v="8"/>
    <s v="2022-01-02"/>
    <m/>
    <n v="111621"/>
    <x v="1"/>
    <n v="1"/>
    <x v="1"/>
    <s v="Menior"/>
    <x v="0"/>
    <m/>
    <x v="6"/>
    <x v="1"/>
    <m/>
  </r>
  <r>
    <s v="E024"/>
    <s v="Karan"/>
    <x v="2"/>
    <x v="1"/>
    <x v="9"/>
    <s v="2021-06-07"/>
    <m/>
    <n v="105303"/>
    <x v="1"/>
    <n v="5"/>
    <x v="1"/>
    <s v="Menior"/>
    <x v="2"/>
    <m/>
    <x v="5"/>
    <x v="1"/>
    <m/>
  </r>
  <r>
    <s v="E025"/>
    <s v="Anjali"/>
    <x v="2"/>
    <x v="1"/>
    <x v="1"/>
    <s v="2019-12-14"/>
    <m/>
    <n v="26792"/>
    <x v="1"/>
    <n v="4"/>
    <x v="1"/>
    <s v="Senior"/>
    <x v="1"/>
    <m/>
    <x v="4"/>
    <x v="1"/>
    <m/>
  </r>
  <r>
    <s v="E026"/>
    <s v="Sneha"/>
    <x v="1"/>
    <x v="0"/>
    <x v="9"/>
    <s v="2018-07-25"/>
    <s v="2019-04-15"/>
    <n v="104077"/>
    <x v="0"/>
    <n v="2"/>
    <x v="9"/>
    <s v="Menior"/>
    <x v="0"/>
    <s v="yes"/>
    <x v="1"/>
    <x v="1"/>
    <m/>
  </r>
  <r>
    <s v="E027"/>
    <s v="Neha"/>
    <x v="4"/>
    <x v="0"/>
    <x v="14"/>
    <s v="2016-12-12"/>
    <s v="2020-07-16"/>
    <n v="114292"/>
    <x v="0"/>
    <n v="5"/>
    <x v="10"/>
    <s v="Senior"/>
    <x v="2"/>
    <s v="no"/>
    <x v="0"/>
    <x v="1"/>
    <m/>
  </r>
  <r>
    <s v="E028"/>
    <s v="Rahul"/>
    <x v="3"/>
    <x v="1"/>
    <x v="0"/>
    <s v="2022-03-03"/>
    <s v="2023-04-20"/>
    <n v="40759"/>
    <x v="0"/>
    <n v="3"/>
    <x v="11"/>
    <s v="Fresher"/>
    <x v="1"/>
    <s v="yes"/>
    <x v="6"/>
    <x v="1"/>
    <m/>
  </r>
  <r>
    <s v="E029"/>
    <s v="Neha"/>
    <x v="0"/>
    <x v="1"/>
    <x v="15"/>
    <s v="2018-07-18"/>
    <s v="2019-06-18"/>
    <n v="31521"/>
    <x v="0"/>
    <n v="3"/>
    <x v="12"/>
    <s v="Senior"/>
    <x v="1"/>
    <s v="yes"/>
    <x v="1"/>
    <x v="1"/>
    <m/>
  </r>
  <r>
    <s v="E030"/>
    <s v="Anjali"/>
    <x v="4"/>
    <x v="1"/>
    <x v="16"/>
    <s v="2022-01-12"/>
    <s v="2023-04-09"/>
    <n v="107269"/>
    <x v="0"/>
    <n v="5"/>
    <x v="13"/>
    <s v="Menior"/>
    <x v="2"/>
    <s v="yes"/>
    <x v="6"/>
    <x v="1"/>
    <m/>
  </r>
  <r>
    <s v="E031"/>
    <s v="Pooja"/>
    <x v="2"/>
    <x v="0"/>
    <x v="12"/>
    <s v="2020-01-25"/>
    <m/>
    <n v="61604"/>
    <x v="1"/>
    <n v="1"/>
    <x v="1"/>
    <s v="Menior"/>
    <x v="0"/>
    <m/>
    <x v="7"/>
    <x v="1"/>
    <m/>
  </r>
  <r>
    <s v="E032"/>
    <s v="Pooja"/>
    <x v="3"/>
    <x v="1"/>
    <x v="17"/>
    <s v="2016-11-26"/>
    <s v="2017-09-12"/>
    <n v="37265"/>
    <x v="0"/>
    <n v="2"/>
    <x v="14"/>
    <s v="Senior"/>
    <x v="0"/>
    <s v="yes"/>
    <x v="0"/>
    <x v="1"/>
    <m/>
  </r>
  <r>
    <s v="E033"/>
    <s v="Priya"/>
    <x v="2"/>
    <x v="1"/>
    <x v="18"/>
    <s v="2021-12-27"/>
    <s v="2026-01-27"/>
    <n v="49646"/>
    <x v="0"/>
    <n v="2"/>
    <x v="15"/>
    <s v="Senior"/>
    <x v="0"/>
    <s v="no"/>
    <x v="5"/>
    <x v="1"/>
    <m/>
  </r>
  <r>
    <s v="E034"/>
    <s v="Pooja"/>
    <x v="0"/>
    <x v="0"/>
    <x v="13"/>
    <s v="2016-07-06"/>
    <m/>
    <n v="119547"/>
    <x v="1"/>
    <n v="3"/>
    <x v="1"/>
    <s v="Senior"/>
    <x v="1"/>
    <m/>
    <x v="0"/>
    <x v="1"/>
    <m/>
  </r>
  <r>
    <s v="E035"/>
    <s v="Pooja"/>
    <x v="4"/>
    <x v="1"/>
    <x v="3"/>
    <s v="2020-07-26"/>
    <m/>
    <n v="105756"/>
    <x v="1"/>
    <n v="5"/>
    <x v="1"/>
    <s v="Fresher"/>
    <x v="2"/>
    <m/>
    <x v="7"/>
    <x v="1"/>
    <m/>
  </r>
  <r>
    <s v="E036"/>
    <s v="Pooja"/>
    <x v="3"/>
    <x v="1"/>
    <x v="5"/>
    <s v="2019-08-05"/>
    <s v="2022-06-14"/>
    <n v="112463"/>
    <x v="0"/>
    <n v="1"/>
    <x v="16"/>
    <s v="Fresher"/>
    <x v="0"/>
    <s v="no"/>
    <x v="4"/>
    <x v="1"/>
    <m/>
  </r>
  <r>
    <s v="E037"/>
    <s v="Arjun"/>
    <x v="3"/>
    <x v="0"/>
    <x v="16"/>
    <s v="2021-09-28"/>
    <m/>
    <n v="84623"/>
    <x v="1"/>
    <n v="5"/>
    <x v="1"/>
    <s v="Menior"/>
    <x v="2"/>
    <m/>
    <x v="5"/>
    <x v="1"/>
    <m/>
  </r>
  <r>
    <s v="E038"/>
    <s v="Neha"/>
    <x v="3"/>
    <x v="1"/>
    <x v="15"/>
    <s v="2015-06-01"/>
    <m/>
    <n v="30180"/>
    <x v="1"/>
    <n v="2"/>
    <x v="1"/>
    <s v="Senior"/>
    <x v="0"/>
    <m/>
    <x v="2"/>
    <x v="1"/>
    <m/>
  </r>
  <r>
    <s v="E039"/>
    <s v="Rohit"/>
    <x v="0"/>
    <x v="1"/>
    <x v="19"/>
    <s v="2017-04-03"/>
    <m/>
    <n v="119216"/>
    <x v="1"/>
    <n v="2"/>
    <x v="1"/>
    <s v="Senior"/>
    <x v="0"/>
    <m/>
    <x v="3"/>
    <x v="1"/>
    <m/>
  </r>
  <r>
    <s v="E040"/>
    <s v="Rohit"/>
    <x v="2"/>
    <x v="1"/>
    <x v="11"/>
    <s v="2016-09-18"/>
    <m/>
    <n v="30812"/>
    <x v="1"/>
    <n v="2"/>
    <x v="1"/>
    <s v="Senior"/>
    <x v="0"/>
    <m/>
    <x v="0"/>
    <x v="1"/>
    <m/>
  </r>
  <r>
    <s v="E041"/>
    <s v="Sneha"/>
    <x v="2"/>
    <x v="1"/>
    <x v="16"/>
    <s v="2018-08-06"/>
    <s v="2021-12-18"/>
    <n v="26482"/>
    <x v="0"/>
    <n v="1"/>
    <x v="17"/>
    <s v="Menior"/>
    <x v="0"/>
    <s v="no"/>
    <x v="1"/>
    <x v="1"/>
    <m/>
  </r>
  <r>
    <s v="E042"/>
    <s v="Pooja"/>
    <x v="0"/>
    <x v="0"/>
    <x v="7"/>
    <s v="2017-04-17"/>
    <s v="2021-04-01"/>
    <n v="49555"/>
    <x v="0"/>
    <n v="4"/>
    <x v="18"/>
    <s v="Menior"/>
    <x v="1"/>
    <s v="no"/>
    <x v="3"/>
    <x v="1"/>
    <m/>
  </r>
  <r>
    <s v="E043"/>
    <s v="Anjali"/>
    <x v="3"/>
    <x v="1"/>
    <x v="6"/>
    <s v="2021-01-25"/>
    <s v="2024-04-30"/>
    <n v="94252"/>
    <x v="0"/>
    <n v="4"/>
    <x v="19"/>
    <s v="Menior"/>
    <x v="1"/>
    <s v="no"/>
    <x v="5"/>
    <x v="1"/>
    <m/>
  </r>
  <r>
    <s v="E044"/>
    <s v="Rahul"/>
    <x v="0"/>
    <x v="1"/>
    <x v="14"/>
    <s v="2015-03-31"/>
    <m/>
    <n v="106408"/>
    <x v="1"/>
    <n v="3"/>
    <x v="1"/>
    <s v="Senior"/>
    <x v="1"/>
    <m/>
    <x v="2"/>
    <x v="1"/>
    <m/>
  </r>
  <r>
    <s v="E045"/>
    <s v="Priya"/>
    <x v="0"/>
    <x v="1"/>
    <x v="0"/>
    <s v="2020-02-25"/>
    <m/>
    <n v="81636"/>
    <x v="1"/>
    <n v="4"/>
    <x v="1"/>
    <s v="Fresher"/>
    <x v="1"/>
    <m/>
    <x v="7"/>
    <x v="1"/>
    <m/>
  </r>
  <r>
    <s v="E046"/>
    <s v="Amit"/>
    <x v="1"/>
    <x v="0"/>
    <x v="19"/>
    <s v="2016-09-12"/>
    <m/>
    <n v="105125"/>
    <x v="1"/>
    <n v="5"/>
    <x v="1"/>
    <s v="Senior"/>
    <x v="2"/>
    <m/>
    <x v="0"/>
    <x v="1"/>
    <m/>
  </r>
  <r>
    <s v="E047"/>
    <s v="Arjun"/>
    <x v="3"/>
    <x v="1"/>
    <x v="20"/>
    <s v="2020-01-04"/>
    <m/>
    <n v="107233"/>
    <x v="1"/>
    <n v="2"/>
    <x v="1"/>
    <s v="Senior"/>
    <x v="0"/>
    <m/>
    <x v="7"/>
    <x v="1"/>
    <m/>
  </r>
  <r>
    <s v="E048"/>
    <s v="Neha"/>
    <x v="1"/>
    <x v="1"/>
    <x v="7"/>
    <s v="2021-07-07"/>
    <s v="2025-06-23"/>
    <n v="65116"/>
    <x v="0"/>
    <n v="2"/>
    <x v="20"/>
    <s v="Menior"/>
    <x v="0"/>
    <s v="no"/>
    <x v="5"/>
    <x v="1"/>
    <m/>
  </r>
  <r>
    <s v="E049"/>
    <s v="Sneha"/>
    <x v="4"/>
    <x v="0"/>
    <x v="12"/>
    <s v="2020-06-14"/>
    <m/>
    <n v="61891"/>
    <x v="1"/>
    <n v="4"/>
    <x v="1"/>
    <s v="Menior"/>
    <x v="1"/>
    <m/>
    <x v="7"/>
    <x v="1"/>
    <m/>
  </r>
  <r>
    <s v="E050"/>
    <s v="Pooja"/>
    <x v="4"/>
    <x v="0"/>
    <x v="21"/>
    <s v="2020-10-22"/>
    <s v="2022-11-23"/>
    <n v="96032"/>
    <x v="0"/>
    <n v="4"/>
    <x v="21"/>
    <s v="Senior"/>
    <x v="1"/>
    <s v="no"/>
    <x v="7"/>
    <x v="1"/>
    <m/>
  </r>
  <r>
    <s v="E051"/>
    <s v="Amit"/>
    <x v="3"/>
    <x v="1"/>
    <x v="17"/>
    <s v="2022-03-30"/>
    <s v="2022-06-05"/>
    <n v="83689"/>
    <x v="0"/>
    <n v="2"/>
    <x v="22"/>
    <s v="Senior"/>
    <x v="0"/>
    <s v="yes"/>
    <x v="6"/>
    <x v="1"/>
    <m/>
  </r>
  <r>
    <s v="E052"/>
    <s v="Rahul"/>
    <x v="0"/>
    <x v="1"/>
    <x v="11"/>
    <s v="2017-12-09"/>
    <s v="2020-01-02"/>
    <n v="118478"/>
    <x v="0"/>
    <n v="3"/>
    <x v="23"/>
    <s v="Senior"/>
    <x v="1"/>
    <s v="no"/>
    <x v="3"/>
    <x v="1"/>
    <m/>
  </r>
  <r>
    <s v="E053"/>
    <s v="Rohit"/>
    <x v="1"/>
    <x v="0"/>
    <x v="11"/>
    <s v="2015-10-31"/>
    <m/>
    <n v="55648"/>
    <x v="1"/>
    <n v="1"/>
    <x v="1"/>
    <s v="Senior"/>
    <x v="0"/>
    <m/>
    <x v="2"/>
    <x v="1"/>
    <m/>
  </r>
  <r>
    <s v="E054"/>
    <s v="Neha"/>
    <x v="0"/>
    <x v="1"/>
    <x v="8"/>
    <s v="2018-09-03"/>
    <m/>
    <n v="77673"/>
    <x v="1"/>
    <n v="5"/>
    <x v="1"/>
    <s v="Menior"/>
    <x v="2"/>
    <m/>
    <x v="1"/>
    <x v="1"/>
    <m/>
  </r>
  <r>
    <s v="E055"/>
    <s v="Neha"/>
    <x v="4"/>
    <x v="1"/>
    <x v="12"/>
    <s v="2020-12-16"/>
    <s v="2023-02-14"/>
    <n v="25816"/>
    <x v="0"/>
    <n v="2"/>
    <x v="24"/>
    <s v="Menior"/>
    <x v="0"/>
    <s v="no"/>
    <x v="7"/>
    <x v="1"/>
    <m/>
  </r>
  <r>
    <s v="E056"/>
    <s v="Amit"/>
    <x v="0"/>
    <x v="0"/>
    <x v="7"/>
    <s v="2020-03-06"/>
    <m/>
    <n v="93674"/>
    <x v="1"/>
    <n v="5"/>
    <x v="1"/>
    <s v="Menior"/>
    <x v="2"/>
    <m/>
    <x v="7"/>
    <x v="1"/>
    <m/>
  </r>
  <r>
    <s v="E057"/>
    <s v="Rohit"/>
    <x v="1"/>
    <x v="0"/>
    <x v="5"/>
    <s v="2017-11-03"/>
    <s v="2019-11-11"/>
    <n v="67247"/>
    <x v="0"/>
    <n v="5"/>
    <x v="1"/>
    <s v="Fresher"/>
    <x v="2"/>
    <s v="no"/>
    <x v="3"/>
    <x v="1"/>
    <m/>
  </r>
  <r>
    <s v="E058"/>
    <s v="Anjali"/>
    <x v="4"/>
    <x v="1"/>
    <x v="14"/>
    <s v="2016-11-10"/>
    <m/>
    <n v="42624"/>
    <x v="1"/>
    <n v="4"/>
    <x v="1"/>
    <s v="Senior"/>
    <x v="1"/>
    <m/>
    <x v="0"/>
    <x v="1"/>
    <m/>
  </r>
  <r>
    <s v="E059"/>
    <s v="Amit"/>
    <x v="3"/>
    <x v="0"/>
    <x v="11"/>
    <s v="2015-09-04"/>
    <s v="2018-10-01"/>
    <n v="25208"/>
    <x v="0"/>
    <n v="2"/>
    <x v="25"/>
    <s v="Senior"/>
    <x v="0"/>
    <s v="no"/>
    <x v="2"/>
    <x v="1"/>
    <m/>
  </r>
  <r>
    <s v="E060"/>
    <s v="Arjun"/>
    <x v="2"/>
    <x v="1"/>
    <x v="14"/>
    <s v="2022-01-02"/>
    <m/>
    <n v="94440"/>
    <x v="1"/>
    <n v="4"/>
    <x v="1"/>
    <s v="Senior"/>
    <x v="1"/>
    <m/>
    <x v="6"/>
    <x v="1"/>
    <m/>
  </r>
  <r>
    <s v="E061"/>
    <s v="Arjun"/>
    <x v="4"/>
    <x v="0"/>
    <x v="9"/>
    <s v="2020-07-13"/>
    <s v="2023-10-31"/>
    <n v="39226"/>
    <x v="0"/>
    <n v="4"/>
    <x v="26"/>
    <s v="Menior"/>
    <x v="1"/>
    <s v="no"/>
    <x v="7"/>
    <x v="1"/>
    <m/>
  </r>
  <r>
    <s v="E062"/>
    <s v="Sneha"/>
    <x v="2"/>
    <x v="1"/>
    <x v="6"/>
    <s v="2023-02-28"/>
    <s v="2026-07-05"/>
    <n v="102208"/>
    <x v="0"/>
    <n v="5"/>
    <x v="27"/>
    <s v="Menior"/>
    <x v="2"/>
    <s v="no"/>
    <x v="8"/>
    <x v="1"/>
    <m/>
  </r>
  <r>
    <s v="E063"/>
    <s v="Amit"/>
    <x v="4"/>
    <x v="1"/>
    <x v="7"/>
    <s v="2020-04-03"/>
    <m/>
    <n v="92067"/>
    <x v="1"/>
    <n v="2"/>
    <x v="1"/>
    <s v="Menior"/>
    <x v="0"/>
    <m/>
    <x v="7"/>
    <x v="1"/>
    <m/>
  </r>
  <r>
    <s v="E064"/>
    <s v="Neha"/>
    <x v="2"/>
    <x v="0"/>
    <x v="2"/>
    <s v="2019-11-19"/>
    <s v="2022-06-13"/>
    <n v="116324"/>
    <x v="0"/>
    <n v="4"/>
    <x v="28"/>
    <s v="Fresher"/>
    <x v="1"/>
    <s v="no"/>
    <x v="4"/>
    <x v="1"/>
    <m/>
  </r>
  <r>
    <s v="E065"/>
    <s v="Amit"/>
    <x v="4"/>
    <x v="0"/>
    <x v="17"/>
    <s v="2016-06-10"/>
    <s v="2017-01-04"/>
    <n v="25164"/>
    <x v="0"/>
    <n v="5"/>
    <x v="29"/>
    <s v="Senior"/>
    <x v="2"/>
    <s v="yes"/>
    <x v="0"/>
    <x v="1"/>
    <m/>
  </r>
  <r>
    <s v="E066"/>
    <s v="Karan"/>
    <x v="3"/>
    <x v="1"/>
    <x v="22"/>
    <s v="2016-06-03"/>
    <m/>
    <n v="111416"/>
    <x v="1"/>
    <n v="1"/>
    <x v="1"/>
    <s v="Fresher"/>
    <x v="0"/>
    <m/>
    <x v="0"/>
    <x v="1"/>
    <m/>
  </r>
  <r>
    <s v="E067"/>
    <s v="Karan"/>
    <x v="0"/>
    <x v="1"/>
    <x v="23"/>
    <s v="2017-12-02"/>
    <m/>
    <n v="37122"/>
    <x v="1"/>
    <n v="3"/>
    <x v="1"/>
    <s v="Menior"/>
    <x v="1"/>
    <m/>
    <x v="3"/>
    <x v="1"/>
    <m/>
  </r>
  <r>
    <s v="E068"/>
    <s v="Rohit"/>
    <x v="1"/>
    <x v="1"/>
    <x v="1"/>
    <s v="2017-10-02"/>
    <s v="2019-09-14"/>
    <n v="37669"/>
    <x v="0"/>
    <n v="3"/>
    <x v="30"/>
    <s v="Senior"/>
    <x v="1"/>
    <s v="yes"/>
    <x v="3"/>
    <x v="1"/>
    <m/>
  </r>
  <r>
    <s v="E069"/>
    <s v="Sneha"/>
    <x v="2"/>
    <x v="1"/>
    <x v="24"/>
    <s v="2021-04-18"/>
    <s v="2025-03-16"/>
    <n v="103942"/>
    <x v="0"/>
    <n v="1"/>
    <x v="31"/>
    <s v="Menior"/>
    <x v="0"/>
    <s v="no"/>
    <x v="5"/>
    <x v="1"/>
    <m/>
  </r>
  <r>
    <s v="E070"/>
    <s v="Priya"/>
    <x v="2"/>
    <x v="0"/>
    <x v="25"/>
    <s v="2021-01-01"/>
    <m/>
    <n v="119634"/>
    <x v="1"/>
    <n v="3"/>
    <x v="1"/>
    <s v="Fresher"/>
    <x v="1"/>
    <m/>
    <x v="5"/>
    <x v="1"/>
    <m/>
  </r>
  <r>
    <s v="E071"/>
    <s v="Rohit"/>
    <x v="0"/>
    <x v="1"/>
    <x v="24"/>
    <s v="2018-11-04"/>
    <s v="2019-01-01"/>
    <n v="73611"/>
    <x v="0"/>
    <n v="2"/>
    <x v="32"/>
    <s v="Menior"/>
    <x v="0"/>
    <s v="yes"/>
    <x v="1"/>
    <x v="1"/>
    <m/>
  </r>
  <r>
    <s v="E072"/>
    <s v="Arjun"/>
    <x v="3"/>
    <x v="1"/>
    <x v="0"/>
    <s v="2019-08-10"/>
    <m/>
    <n v="59225"/>
    <x v="1"/>
    <n v="2"/>
    <x v="1"/>
    <s v="Fresher"/>
    <x v="0"/>
    <m/>
    <x v="4"/>
    <x v="1"/>
    <m/>
  </r>
  <r>
    <s v="E073"/>
    <s v="Neha"/>
    <x v="2"/>
    <x v="1"/>
    <x v="16"/>
    <s v="2018-03-01"/>
    <s v="2020-12-28"/>
    <n v="114308"/>
    <x v="0"/>
    <n v="5"/>
    <x v="33"/>
    <s v="Menior"/>
    <x v="2"/>
    <s v="no"/>
    <x v="1"/>
    <x v="1"/>
    <m/>
  </r>
  <r>
    <s v="E074"/>
    <s v="Arjun"/>
    <x v="3"/>
    <x v="0"/>
    <x v="23"/>
    <s v="2020-11-06"/>
    <m/>
    <n v="102550"/>
    <x v="1"/>
    <n v="1"/>
    <x v="1"/>
    <s v="Menior"/>
    <x v="0"/>
    <m/>
    <x v="7"/>
    <x v="1"/>
    <m/>
  </r>
  <r>
    <s v="E075"/>
    <s v="Pooja"/>
    <x v="1"/>
    <x v="1"/>
    <x v="10"/>
    <s v="2021-10-19"/>
    <s v="2023-07-19"/>
    <n v="32189"/>
    <x v="0"/>
    <n v="1"/>
    <x v="34"/>
    <s v="Menior"/>
    <x v="0"/>
    <s v="yes"/>
    <x v="5"/>
    <x v="1"/>
    <m/>
  </r>
  <r>
    <s v="E076"/>
    <s v="Rahul"/>
    <x v="4"/>
    <x v="0"/>
    <x v="4"/>
    <s v="2017-09-12"/>
    <m/>
    <n v="36917"/>
    <x v="1"/>
    <n v="1"/>
    <x v="1"/>
    <s v="Fresher"/>
    <x v="0"/>
    <m/>
    <x v="3"/>
    <x v="1"/>
    <m/>
  </r>
  <r>
    <s v="E077"/>
    <s v="Sneha"/>
    <x v="0"/>
    <x v="0"/>
    <x v="0"/>
    <s v="2019-04-14"/>
    <s v="2019-06-27"/>
    <n v="77589"/>
    <x v="0"/>
    <n v="5"/>
    <x v="35"/>
    <s v="Fresher"/>
    <x v="2"/>
    <s v="yes"/>
    <x v="4"/>
    <x v="1"/>
    <m/>
  </r>
  <r>
    <s v="E078"/>
    <s v="Rohit"/>
    <x v="3"/>
    <x v="1"/>
    <x v="19"/>
    <s v="2018-08-30"/>
    <s v="2019-05-20"/>
    <n v="61443"/>
    <x v="0"/>
    <n v="5"/>
    <x v="36"/>
    <s v="Senior"/>
    <x v="2"/>
    <s v="yes"/>
    <x v="1"/>
    <x v="1"/>
    <m/>
  </r>
  <r>
    <s v="E079"/>
    <s v="Rohit"/>
    <x v="2"/>
    <x v="1"/>
    <x v="18"/>
    <s v="2020-05-02"/>
    <m/>
    <n v="60785"/>
    <x v="1"/>
    <n v="3"/>
    <x v="1"/>
    <s v="Senior"/>
    <x v="1"/>
    <m/>
    <x v="7"/>
    <x v="1"/>
    <m/>
  </r>
  <r>
    <s v="E080"/>
    <s v="Rohit"/>
    <x v="1"/>
    <x v="1"/>
    <x v="26"/>
    <s v="2017-07-28"/>
    <m/>
    <n v="45302"/>
    <x v="1"/>
    <n v="3"/>
    <x v="1"/>
    <s v="Senior"/>
    <x v="1"/>
    <m/>
    <x v="3"/>
    <x v="1"/>
    <m/>
  </r>
  <r>
    <s v="E081"/>
    <s v="Amit"/>
    <x v="3"/>
    <x v="1"/>
    <x v="6"/>
    <s v="2020-12-08"/>
    <s v="2023-10-22"/>
    <n v="80015"/>
    <x v="0"/>
    <n v="4"/>
    <x v="37"/>
    <s v="Menior"/>
    <x v="1"/>
    <s v="no"/>
    <x v="7"/>
    <x v="1"/>
    <m/>
  </r>
  <r>
    <s v="E082"/>
    <s v="Priya"/>
    <x v="4"/>
    <x v="0"/>
    <x v="22"/>
    <s v="2021-12-12"/>
    <s v="2025-06-26"/>
    <n v="75255"/>
    <x v="0"/>
    <n v="3"/>
    <x v="38"/>
    <s v="Fresher"/>
    <x v="1"/>
    <s v="no"/>
    <x v="5"/>
    <x v="1"/>
    <m/>
  </r>
  <r>
    <s v="E083"/>
    <s v="Priya"/>
    <x v="0"/>
    <x v="0"/>
    <x v="25"/>
    <s v="2019-03-21"/>
    <m/>
    <n v="59206"/>
    <x v="1"/>
    <n v="5"/>
    <x v="1"/>
    <s v="Fresher"/>
    <x v="2"/>
    <m/>
    <x v="4"/>
    <x v="1"/>
    <m/>
  </r>
  <r>
    <s v="E084"/>
    <s v="Anjali"/>
    <x v="3"/>
    <x v="1"/>
    <x v="7"/>
    <s v="2021-05-27"/>
    <s v="2021-11-09"/>
    <n v="107061"/>
    <x v="0"/>
    <n v="3"/>
    <x v="39"/>
    <s v="Menior"/>
    <x v="1"/>
    <s v="yes"/>
    <x v="5"/>
    <x v="1"/>
    <m/>
  </r>
  <r>
    <s v="E085"/>
    <s v="Rohit"/>
    <x v="0"/>
    <x v="1"/>
    <x v="19"/>
    <s v="2017-01-27"/>
    <m/>
    <n v="55886"/>
    <x v="1"/>
    <n v="4"/>
    <x v="1"/>
    <s v="Senior"/>
    <x v="1"/>
    <m/>
    <x v="3"/>
    <x v="1"/>
    <m/>
  </r>
  <r>
    <s v="E086"/>
    <s v="Rahul"/>
    <x v="0"/>
    <x v="1"/>
    <x v="3"/>
    <s v="2019-12-06"/>
    <m/>
    <n v="110120"/>
    <x v="1"/>
    <n v="1"/>
    <x v="1"/>
    <s v="Fresher"/>
    <x v="0"/>
    <m/>
    <x v="4"/>
    <x v="1"/>
    <m/>
  </r>
  <r>
    <s v="E087"/>
    <s v="Rahul"/>
    <x v="4"/>
    <x v="1"/>
    <x v="25"/>
    <s v="2015-07-20"/>
    <s v="2016-08-19"/>
    <n v="96309"/>
    <x v="0"/>
    <n v="2"/>
    <x v="40"/>
    <s v="Fresher"/>
    <x v="0"/>
    <s v="yes"/>
    <x v="2"/>
    <x v="1"/>
    <m/>
  </r>
  <r>
    <s v="E088"/>
    <s v="Amit"/>
    <x v="4"/>
    <x v="1"/>
    <x v="12"/>
    <s v="2022-11-11"/>
    <m/>
    <n v="49386"/>
    <x v="1"/>
    <n v="1"/>
    <x v="1"/>
    <s v="Menior"/>
    <x v="0"/>
    <m/>
    <x v="6"/>
    <x v="1"/>
    <m/>
  </r>
  <r>
    <s v="E089"/>
    <s v="Priya"/>
    <x v="4"/>
    <x v="1"/>
    <x v="0"/>
    <s v="2019-01-05"/>
    <m/>
    <n v="106360"/>
    <x v="1"/>
    <n v="1"/>
    <x v="1"/>
    <s v="Fresher"/>
    <x v="0"/>
    <m/>
    <x v="4"/>
    <x v="1"/>
    <m/>
  </r>
  <r>
    <s v="E090"/>
    <s v="Neha"/>
    <x v="1"/>
    <x v="1"/>
    <x v="21"/>
    <s v="2018-10-23"/>
    <s v="2020-10-01"/>
    <n v="66746"/>
    <x v="0"/>
    <n v="2"/>
    <x v="41"/>
    <s v="Senior"/>
    <x v="0"/>
    <s v="yes"/>
    <x v="1"/>
    <x v="1"/>
    <m/>
  </r>
  <r>
    <s v="E091"/>
    <s v="Rohit"/>
    <x v="1"/>
    <x v="1"/>
    <x v="23"/>
    <s v="2018-07-15"/>
    <s v="2021-09-03"/>
    <n v="25329"/>
    <x v="0"/>
    <n v="1"/>
    <x v="42"/>
    <s v="Menior"/>
    <x v="0"/>
    <s v="no"/>
    <x v="1"/>
    <x v="1"/>
    <m/>
  </r>
  <r>
    <s v="E092"/>
    <s v="Karan"/>
    <x v="1"/>
    <x v="0"/>
    <x v="5"/>
    <s v="2022-11-03"/>
    <m/>
    <n v="90975"/>
    <x v="1"/>
    <n v="3"/>
    <x v="1"/>
    <s v="Fresher"/>
    <x v="1"/>
    <m/>
    <x v="6"/>
    <x v="1"/>
    <m/>
  </r>
  <r>
    <s v="E093"/>
    <s v="Arjun"/>
    <x v="0"/>
    <x v="0"/>
    <x v="11"/>
    <s v="2022-11-28"/>
    <m/>
    <n v="109016"/>
    <x v="1"/>
    <n v="1"/>
    <x v="1"/>
    <s v="Senior"/>
    <x v="0"/>
    <m/>
    <x v="6"/>
    <x v="1"/>
    <m/>
  </r>
  <r>
    <s v="E094"/>
    <s v="Rohit"/>
    <x v="4"/>
    <x v="0"/>
    <x v="2"/>
    <s v="2021-01-28"/>
    <s v="2024-10-06"/>
    <n v="75189"/>
    <x v="0"/>
    <n v="3"/>
    <x v="43"/>
    <s v="Fresher"/>
    <x v="1"/>
    <s v="no"/>
    <x v="5"/>
    <x v="1"/>
    <m/>
  </r>
  <r>
    <s v="E095"/>
    <s v="Amit"/>
    <x v="3"/>
    <x v="0"/>
    <x v="2"/>
    <s v="2016-07-03"/>
    <s v="2016-08-15"/>
    <n v="97771"/>
    <x v="0"/>
    <n v="1"/>
    <x v="44"/>
    <s v="Fresher"/>
    <x v="0"/>
    <s v="yes"/>
    <x v="0"/>
    <x v="1"/>
    <m/>
  </r>
  <r>
    <s v="E096"/>
    <s v="Sneha"/>
    <x v="1"/>
    <x v="1"/>
    <x v="6"/>
    <s v="2017-04-13"/>
    <s v="2018-07-27"/>
    <n v="34368"/>
    <x v="0"/>
    <n v="5"/>
    <x v="3"/>
    <s v="Menior"/>
    <x v="2"/>
    <s v="yes"/>
    <x v="3"/>
    <x v="1"/>
    <m/>
  </r>
  <r>
    <s v="E097"/>
    <s v="Amit"/>
    <x v="2"/>
    <x v="1"/>
    <x v="0"/>
    <s v="2020-06-20"/>
    <s v="2022-02-02"/>
    <n v="45093"/>
    <x v="0"/>
    <n v="3"/>
    <x v="45"/>
    <s v="Fresher"/>
    <x v="1"/>
    <s v="yes"/>
    <x v="7"/>
    <x v="1"/>
    <m/>
  </r>
  <r>
    <s v="E098"/>
    <s v="Rahul"/>
    <x v="1"/>
    <x v="1"/>
    <x v="9"/>
    <s v="2022-05-31"/>
    <s v="2024-09-27"/>
    <n v="84435"/>
    <x v="0"/>
    <n v="2"/>
    <x v="46"/>
    <s v="Menior"/>
    <x v="0"/>
    <s v="no"/>
    <x v="6"/>
    <x v="1"/>
    <m/>
  </r>
  <r>
    <s v="E099"/>
    <s v="Pooja"/>
    <x v="2"/>
    <x v="0"/>
    <x v="4"/>
    <s v="2017-04-14"/>
    <m/>
    <n v="26663"/>
    <x v="1"/>
    <n v="3"/>
    <x v="1"/>
    <s v="Fresher"/>
    <x v="1"/>
    <m/>
    <x v="3"/>
    <x v="1"/>
    <m/>
  </r>
  <r>
    <s v="E100"/>
    <s v="Rohit"/>
    <x v="2"/>
    <x v="1"/>
    <x v="23"/>
    <s v="2022-10-30"/>
    <m/>
    <n v="109325"/>
    <x v="1"/>
    <n v="3"/>
    <x v="1"/>
    <s v="Menior"/>
    <x v="1"/>
    <m/>
    <x v="6"/>
    <x v="1"/>
    <m/>
  </r>
  <r>
    <s v="E101"/>
    <s v="Priya"/>
    <x v="3"/>
    <x v="0"/>
    <x v="26"/>
    <s v="2017-03-27"/>
    <s v="2020-06-04"/>
    <n v="98034"/>
    <x v="0"/>
    <n v="3"/>
    <x v="47"/>
    <s v="Senior"/>
    <x v="1"/>
    <s v="no"/>
    <x v="3"/>
    <x v="1"/>
    <m/>
  </r>
  <r>
    <s v="E102"/>
    <s v="Neha"/>
    <x v="3"/>
    <x v="1"/>
    <x v="0"/>
    <s v="2015-07-19"/>
    <m/>
    <n v="100059"/>
    <x v="1"/>
    <n v="2"/>
    <x v="1"/>
    <s v="Fresher"/>
    <x v="0"/>
    <m/>
    <x v="2"/>
    <x v="1"/>
    <m/>
  </r>
  <r>
    <s v="E103"/>
    <s v="Priya"/>
    <x v="2"/>
    <x v="1"/>
    <x v="21"/>
    <s v="2015-05-12"/>
    <m/>
    <n v="40376"/>
    <x v="1"/>
    <n v="5"/>
    <x v="1"/>
    <s v="Senior"/>
    <x v="2"/>
    <m/>
    <x v="2"/>
    <x v="1"/>
    <m/>
  </r>
  <r>
    <s v="E104"/>
    <s v="Pooja"/>
    <x v="1"/>
    <x v="0"/>
    <x v="19"/>
    <s v="2017-03-06"/>
    <s v="2017-09-02"/>
    <n v="70323"/>
    <x v="0"/>
    <n v="5"/>
    <x v="48"/>
    <s v="Senior"/>
    <x v="2"/>
    <s v="yes"/>
    <x v="3"/>
    <x v="1"/>
    <m/>
  </r>
  <r>
    <s v="E105"/>
    <s v="Rohit"/>
    <x v="3"/>
    <x v="0"/>
    <x v="14"/>
    <s v="2015-07-04"/>
    <s v="2015-09-11"/>
    <n v="104735"/>
    <x v="0"/>
    <n v="1"/>
    <x v="49"/>
    <s v="Senior"/>
    <x v="0"/>
    <s v="yes"/>
    <x v="2"/>
    <x v="1"/>
    <m/>
  </r>
  <r>
    <s v="E106"/>
    <s v="Neha"/>
    <x v="2"/>
    <x v="0"/>
    <x v="19"/>
    <s v="2018-02-28"/>
    <m/>
    <n v="62368"/>
    <x v="1"/>
    <n v="1"/>
    <x v="1"/>
    <s v="Senior"/>
    <x v="0"/>
    <m/>
    <x v="1"/>
    <x v="1"/>
    <m/>
  </r>
  <r>
    <s v="E107"/>
    <s v="Rohit"/>
    <x v="4"/>
    <x v="1"/>
    <x v="27"/>
    <s v="2019-06-19"/>
    <m/>
    <n v="58755"/>
    <x v="1"/>
    <n v="3"/>
    <x v="1"/>
    <s v="Fresher"/>
    <x v="1"/>
    <m/>
    <x v="4"/>
    <x v="1"/>
    <m/>
  </r>
  <r>
    <s v="E108"/>
    <s v="Anjali"/>
    <x v="0"/>
    <x v="0"/>
    <x v="16"/>
    <s v="2016-09-18"/>
    <m/>
    <n v="116105"/>
    <x v="1"/>
    <n v="3"/>
    <x v="1"/>
    <s v="Menior"/>
    <x v="1"/>
    <m/>
    <x v="0"/>
    <x v="1"/>
    <m/>
  </r>
  <r>
    <s v="E109"/>
    <s v="Arjun"/>
    <x v="0"/>
    <x v="1"/>
    <x v="2"/>
    <s v="2019-05-27"/>
    <s v="2022-03-11"/>
    <n v="79813"/>
    <x v="0"/>
    <n v="2"/>
    <x v="50"/>
    <s v="Fresher"/>
    <x v="0"/>
    <s v="no"/>
    <x v="4"/>
    <x v="1"/>
    <m/>
  </r>
  <r>
    <s v="E110"/>
    <s v="Rohit"/>
    <x v="0"/>
    <x v="0"/>
    <x v="1"/>
    <s v="2015-07-06"/>
    <s v="2017-08-27"/>
    <n v="81689"/>
    <x v="0"/>
    <n v="2"/>
    <x v="51"/>
    <s v="Senior"/>
    <x v="0"/>
    <s v="no"/>
    <x v="2"/>
    <x v="1"/>
    <m/>
  </r>
  <r>
    <s v="E111"/>
    <s v="Anjali"/>
    <x v="1"/>
    <x v="0"/>
    <x v="10"/>
    <s v="2016-01-08"/>
    <m/>
    <n v="55203"/>
    <x v="1"/>
    <n v="5"/>
    <x v="1"/>
    <s v="Menior"/>
    <x v="2"/>
    <m/>
    <x v="0"/>
    <x v="1"/>
    <m/>
  </r>
  <r>
    <s v="E112"/>
    <s v="Neha"/>
    <x v="0"/>
    <x v="1"/>
    <x v="18"/>
    <s v="2021-04-15"/>
    <m/>
    <n v="54684"/>
    <x v="1"/>
    <n v="2"/>
    <x v="1"/>
    <s v="Senior"/>
    <x v="0"/>
    <m/>
    <x v="5"/>
    <x v="1"/>
    <m/>
  </r>
  <r>
    <s v="E113"/>
    <s v="Anjali"/>
    <x v="3"/>
    <x v="0"/>
    <x v="1"/>
    <s v="2021-09-24"/>
    <m/>
    <n v="82753"/>
    <x v="1"/>
    <n v="1"/>
    <x v="1"/>
    <s v="Senior"/>
    <x v="0"/>
    <m/>
    <x v="5"/>
    <x v="1"/>
    <m/>
  </r>
  <r>
    <s v="E114"/>
    <s v="Rohit"/>
    <x v="3"/>
    <x v="1"/>
    <x v="25"/>
    <s v="2018-02-12"/>
    <m/>
    <n v="94703"/>
    <x v="1"/>
    <n v="4"/>
    <x v="1"/>
    <s v="Fresher"/>
    <x v="1"/>
    <m/>
    <x v="1"/>
    <x v="1"/>
    <m/>
  </r>
  <r>
    <s v="E115"/>
    <s v="Anjali"/>
    <x v="1"/>
    <x v="0"/>
    <x v="3"/>
    <s v="2021-02-14"/>
    <s v="2023-04-17"/>
    <n v="75513"/>
    <x v="0"/>
    <n v="2"/>
    <x v="52"/>
    <s v="Fresher"/>
    <x v="0"/>
    <s v="no"/>
    <x v="5"/>
    <x v="1"/>
    <m/>
  </r>
  <r>
    <s v="E116"/>
    <s v="Amit"/>
    <x v="0"/>
    <x v="0"/>
    <x v="12"/>
    <s v="2016-10-12"/>
    <m/>
    <n v="90928"/>
    <x v="1"/>
    <n v="2"/>
    <x v="1"/>
    <s v="Menior"/>
    <x v="0"/>
    <m/>
    <x v="0"/>
    <x v="1"/>
    <m/>
  </r>
  <r>
    <s v="E117"/>
    <s v="Priya"/>
    <x v="4"/>
    <x v="0"/>
    <x v="28"/>
    <s v="2021-10-30"/>
    <m/>
    <n v="104554"/>
    <x v="1"/>
    <n v="1"/>
    <x v="1"/>
    <s v="Menior"/>
    <x v="0"/>
    <m/>
    <x v="5"/>
    <x v="1"/>
    <m/>
  </r>
  <r>
    <s v="E118"/>
    <s v="Sneha"/>
    <x v="2"/>
    <x v="0"/>
    <x v="26"/>
    <s v="2016-02-15"/>
    <s v="2017-09-04"/>
    <n v="27003"/>
    <x v="0"/>
    <n v="3"/>
    <x v="53"/>
    <s v="Senior"/>
    <x v="1"/>
    <s v="yes"/>
    <x v="0"/>
    <x v="1"/>
    <m/>
  </r>
  <r>
    <s v="E119"/>
    <s v="Karan"/>
    <x v="0"/>
    <x v="1"/>
    <x v="15"/>
    <s v="2017-03-13"/>
    <s v="2019-06-29"/>
    <n v="42361"/>
    <x v="0"/>
    <n v="1"/>
    <x v="54"/>
    <s v="Senior"/>
    <x v="0"/>
    <s v="no"/>
    <x v="3"/>
    <x v="1"/>
    <m/>
  </r>
  <r>
    <s v="E120"/>
    <s v="Neha"/>
    <x v="4"/>
    <x v="1"/>
    <x v="14"/>
    <s v="2018-08-19"/>
    <s v="2019-02-08"/>
    <n v="101559"/>
    <x v="0"/>
    <n v="2"/>
    <x v="55"/>
    <s v="Senior"/>
    <x v="0"/>
    <s v="yes"/>
    <x v="1"/>
    <x v="1"/>
    <m/>
  </r>
  <r>
    <s v="E121"/>
    <s v="Priya"/>
    <x v="3"/>
    <x v="0"/>
    <x v="8"/>
    <s v="2020-01-25"/>
    <m/>
    <n v="92786"/>
    <x v="1"/>
    <n v="5"/>
    <x v="1"/>
    <s v="Menior"/>
    <x v="2"/>
    <m/>
    <x v="7"/>
    <x v="1"/>
    <m/>
  </r>
  <r>
    <s v="E122"/>
    <s v="Pooja"/>
    <x v="0"/>
    <x v="0"/>
    <x v="23"/>
    <s v="2017-01-29"/>
    <m/>
    <n v="92883"/>
    <x v="1"/>
    <n v="2"/>
    <x v="1"/>
    <s v="Menior"/>
    <x v="0"/>
    <m/>
    <x v="3"/>
    <x v="1"/>
    <m/>
  </r>
  <r>
    <s v="E123"/>
    <s v="Priya"/>
    <x v="2"/>
    <x v="1"/>
    <x v="15"/>
    <s v="2018-12-05"/>
    <s v="2021-12-20"/>
    <n v="75185"/>
    <x v="0"/>
    <n v="3"/>
    <x v="56"/>
    <s v="Senior"/>
    <x v="1"/>
    <s v="no"/>
    <x v="1"/>
    <x v="1"/>
    <m/>
  </r>
  <r>
    <s v="E124"/>
    <s v="Sneha"/>
    <x v="3"/>
    <x v="1"/>
    <x v="7"/>
    <s v="2023-03-20"/>
    <s v="2025-06-18"/>
    <n v="74932"/>
    <x v="0"/>
    <n v="1"/>
    <x v="57"/>
    <s v="Menior"/>
    <x v="0"/>
    <s v="no"/>
    <x v="8"/>
    <x v="1"/>
    <m/>
  </r>
  <r>
    <s v="E125"/>
    <s v="Rahul"/>
    <x v="1"/>
    <x v="1"/>
    <x v="24"/>
    <s v="2018-06-16"/>
    <s v="2019-12-13"/>
    <n v="74196"/>
    <x v="0"/>
    <n v="3"/>
    <x v="58"/>
    <s v="Menior"/>
    <x v="1"/>
    <s v="yes"/>
    <x v="1"/>
    <x v="1"/>
    <m/>
  </r>
  <r>
    <s v="E126"/>
    <s v="Rohit"/>
    <x v="2"/>
    <x v="0"/>
    <x v="27"/>
    <s v="2021-05-13"/>
    <m/>
    <n v="81319"/>
    <x v="1"/>
    <n v="5"/>
    <x v="1"/>
    <s v="Fresher"/>
    <x v="2"/>
    <m/>
    <x v="5"/>
    <x v="1"/>
    <m/>
  </r>
  <r>
    <s v="E127"/>
    <s v="Sneha"/>
    <x v="2"/>
    <x v="0"/>
    <x v="28"/>
    <s v="2019-03-14"/>
    <s v="2020-02-22"/>
    <n v="51650"/>
    <x v="0"/>
    <n v="4"/>
    <x v="59"/>
    <s v="Menior"/>
    <x v="1"/>
    <s v="yes"/>
    <x v="4"/>
    <x v="1"/>
    <m/>
  </r>
  <r>
    <s v="E128"/>
    <s v="Arjun"/>
    <x v="2"/>
    <x v="1"/>
    <x v="10"/>
    <s v="2022-02-23"/>
    <s v="2024-06-04"/>
    <n v="97654"/>
    <x v="0"/>
    <n v="5"/>
    <x v="60"/>
    <s v="Menior"/>
    <x v="2"/>
    <s v="no"/>
    <x v="6"/>
    <x v="1"/>
    <m/>
  </r>
  <r>
    <s v="E129"/>
    <s v="Priya"/>
    <x v="4"/>
    <x v="0"/>
    <x v="12"/>
    <s v="2016-11-26"/>
    <m/>
    <n v="65435"/>
    <x v="1"/>
    <n v="1"/>
    <x v="1"/>
    <s v="Menior"/>
    <x v="0"/>
    <m/>
    <x v="0"/>
    <x v="1"/>
    <m/>
  </r>
  <r>
    <s v="E130"/>
    <s v="Neha"/>
    <x v="2"/>
    <x v="0"/>
    <x v="26"/>
    <s v="2021-09-19"/>
    <m/>
    <n v="28507"/>
    <x v="1"/>
    <n v="2"/>
    <x v="1"/>
    <s v="Senior"/>
    <x v="0"/>
    <m/>
    <x v="5"/>
    <x v="1"/>
    <m/>
  </r>
  <r>
    <s v="E131"/>
    <s v="Neha"/>
    <x v="1"/>
    <x v="0"/>
    <x v="17"/>
    <s v="2019-08-01"/>
    <m/>
    <n v="36753"/>
    <x v="1"/>
    <n v="1"/>
    <x v="1"/>
    <s v="Senior"/>
    <x v="0"/>
    <m/>
    <x v="4"/>
    <x v="1"/>
    <m/>
  </r>
  <r>
    <s v="E132"/>
    <s v="Anjali"/>
    <x v="0"/>
    <x v="1"/>
    <x v="20"/>
    <s v="2015-02-12"/>
    <m/>
    <n v="67548"/>
    <x v="1"/>
    <n v="3"/>
    <x v="1"/>
    <s v="Senior"/>
    <x v="1"/>
    <m/>
    <x v="2"/>
    <x v="1"/>
    <m/>
  </r>
  <r>
    <s v="E133"/>
    <s v="Rahul"/>
    <x v="0"/>
    <x v="0"/>
    <x v="22"/>
    <s v="2021-05-19"/>
    <m/>
    <n v="72601"/>
    <x v="1"/>
    <n v="4"/>
    <x v="1"/>
    <s v="Fresher"/>
    <x v="1"/>
    <m/>
    <x v="5"/>
    <x v="1"/>
    <m/>
  </r>
  <r>
    <s v="E134"/>
    <s v="Sneha"/>
    <x v="2"/>
    <x v="0"/>
    <x v="12"/>
    <s v="2018-02-24"/>
    <m/>
    <n v="95174"/>
    <x v="1"/>
    <n v="2"/>
    <x v="1"/>
    <s v="Menior"/>
    <x v="0"/>
    <m/>
    <x v="1"/>
    <x v="1"/>
    <m/>
  </r>
  <r>
    <s v="E135"/>
    <s v="Neha"/>
    <x v="2"/>
    <x v="1"/>
    <x v="18"/>
    <s v="2017-03-07"/>
    <s v="2018-11-01"/>
    <n v="97888"/>
    <x v="0"/>
    <n v="2"/>
    <x v="61"/>
    <s v="Senior"/>
    <x v="0"/>
    <s v="yes"/>
    <x v="3"/>
    <x v="1"/>
    <m/>
  </r>
  <r>
    <s v="E136"/>
    <s v="Amit"/>
    <x v="1"/>
    <x v="0"/>
    <x v="10"/>
    <s v="2022-08-30"/>
    <m/>
    <n v="115646"/>
    <x v="1"/>
    <n v="3"/>
    <x v="1"/>
    <s v="Menior"/>
    <x v="1"/>
    <m/>
    <x v="6"/>
    <x v="1"/>
    <m/>
  </r>
  <r>
    <s v="E137"/>
    <s v="Pooja"/>
    <x v="1"/>
    <x v="1"/>
    <x v="21"/>
    <s v="2016-08-30"/>
    <s v="2018-04-10"/>
    <n v="60520"/>
    <x v="0"/>
    <n v="1"/>
    <x v="62"/>
    <s v="Senior"/>
    <x v="0"/>
    <s v="yes"/>
    <x v="0"/>
    <x v="1"/>
    <m/>
  </r>
  <r>
    <s v="E138"/>
    <s v="Karan"/>
    <x v="3"/>
    <x v="1"/>
    <x v="16"/>
    <s v="2023-02-02"/>
    <s v="2025-06-24"/>
    <n v="68788"/>
    <x v="0"/>
    <n v="4"/>
    <x v="63"/>
    <s v="Menior"/>
    <x v="1"/>
    <s v="no"/>
    <x v="8"/>
    <x v="1"/>
    <m/>
  </r>
  <r>
    <s v="E139"/>
    <s v="Karan"/>
    <x v="2"/>
    <x v="1"/>
    <x v="25"/>
    <s v="2016-07-19"/>
    <m/>
    <n v="79105"/>
    <x v="1"/>
    <n v="3"/>
    <x v="1"/>
    <s v="Fresher"/>
    <x v="1"/>
    <m/>
    <x v="0"/>
    <x v="1"/>
    <m/>
  </r>
  <r>
    <s v="E140"/>
    <s v="Rahul"/>
    <x v="2"/>
    <x v="0"/>
    <x v="2"/>
    <s v="2017-07-11"/>
    <m/>
    <n v="55472"/>
    <x v="1"/>
    <n v="3"/>
    <x v="1"/>
    <s v="Fresher"/>
    <x v="1"/>
    <m/>
    <x v="3"/>
    <x v="1"/>
    <m/>
  </r>
  <r>
    <s v="E141"/>
    <s v="Amit"/>
    <x v="1"/>
    <x v="1"/>
    <x v="18"/>
    <s v="2021-10-07"/>
    <s v="2023-11-18"/>
    <n v="32338"/>
    <x v="0"/>
    <n v="3"/>
    <x v="64"/>
    <s v="Senior"/>
    <x v="1"/>
    <s v="no"/>
    <x v="5"/>
    <x v="1"/>
    <m/>
  </r>
  <r>
    <s v="E142"/>
    <s v="Rohit"/>
    <x v="0"/>
    <x v="1"/>
    <x v="28"/>
    <s v="2018-10-27"/>
    <m/>
    <n v="106987"/>
    <x v="1"/>
    <n v="3"/>
    <x v="1"/>
    <s v="Menior"/>
    <x v="1"/>
    <m/>
    <x v="1"/>
    <x v="1"/>
    <m/>
  </r>
  <r>
    <s v="E143"/>
    <s v="Pooja"/>
    <x v="2"/>
    <x v="0"/>
    <x v="2"/>
    <s v="2018-04-30"/>
    <m/>
    <n v="51087"/>
    <x v="1"/>
    <n v="3"/>
    <x v="1"/>
    <s v="Fresher"/>
    <x v="1"/>
    <m/>
    <x v="1"/>
    <x v="1"/>
    <m/>
  </r>
  <r>
    <s v="E144"/>
    <s v="Neha"/>
    <x v="0"/>
    <x v="0"/>
    <x v="28"/>
    <s v="2015-12-01"/>
    <m/>
    <n v="76611"/>
    <x v="1"/>
    <n v="3"/>
    <x v="1"/>
    <s v="Menior"/>
    <x v="1"/>
    <m/>
    <x v="2"/>
    <x v="1"/>
    <m/>
  </r>
  <r>
    <s v="E145"/>
    <s v="Neha"/>
    <x v="0"/>
    <x v="1"/>
    <x v="0"/>
    <s v="2018-12-28"/>
    <m/>
    <n v="38615"/>
    <x v="1"/>
    <n v="2"/>
    <x v="1"/>
    <s v="Fresher"/>
    <x v="0"/>
    <m/>
    <x v="1"/>
    <x v="1"/>
    <m/>
  </r>
  <r>
    <s v="E146"/>
    <s v="Rahul"/>
    <x v="3"/>
    <x v="0"/>
    <x v="5"/>
    <s v="2022-01-01"/>
    <s v="2022-08-15"/>
    <n v="110890"/>
    <x v="0"/>
    <n v="1"/>
    <x v="65"/>
    <s v="Fresher"/>
    <x v="0"/>
    <s v="yes"/>
    <x v="6"/>
    <x v="1"/>
    <m/>
  </r>
  <r>
    <s v="E147"/>
    <s v="Pooja"/>
    <x v="0"/>
    <x v="1"/>
    <x v="15"/>
    <s v="2020-11-07"/>
    <m/>
    <n v="77633"/>
    <x v="1"/>
    <n v="3"/>
    <x v="1"/>
    <s v="Senior"/>
    <x v="1"/>
    <m/>
    <x v="7"/>
    <x v="1"/>
    <m/>
  </r>
  <r>
    <s v="E148"/>
    <s v="Neha"/>
    <x v="3"/>
    <x v="0"/>
    <x v="13"/>
    <s v="2016-06-15"/>
    <m/>
    <n v="115149"/>
    <x v="1"/>
    <n v="5"/>
    <x v="1"/>
    <s v="Senior"/>
    <x v="2"/>
    <m/>
    <x v="0"/>
    <x v="1"/>
    <m/>
  </r>
  <r>
    <s v="E149"/>
    <s v="Priya"/>
    <x v="2"/>
    <x v="1"/>
    <x v="15"/>
    <s v="2023-01-21"/>
    <s v="2025-09-23"/>
    <n v="75410"/>
    <x v="0"/>
    <n v="3"/>
    <x v="66"/>
    <s v="Senior"/>
    <x v="1"/>
    <s v="no"/>
    <x v="8"/>
    <x v="1"/>
    <m/>
  </r>
  <r>
    <s v="E150"/>
    <s v="Priya"/>
    <x v="1"/>
    <x v="1"/>
    <x v="7"/>
    <s v="2020-02-23"/>
    <m/>
    <n v="119343"/>
    <x v="1"/>
    <n v="5"/>
    <x v="1"/>
    <s v="Menior"/>
    <x v="2"/>
    <m/>
    <x v="7"/>
    <x v="1"/>
    <m/>
  </r>
  <r>
    <s v="E151"/>
    <s v="Arjun"/>
    <x v="2"/>
    <x v="1"/>
    <x v="21"/>
    <s v="2021-10-31"/>
    <s v="2025-11-07"/>
    <n v="61700"/>
    <x v="0"/>
    <n v="5"/>
    <x v="67"/>
    <s v="Senior"/>
    <x v="2"/>
    <s v="no"/>
    <x v="5"/>
    <x v="1"/>
    <m/>
  </r>
  <r>
    <s v="E152"/>
    <s v="Rohit"/>
    <x v="1"/>
    <x v="0"/>
    <x v="14"/>
    <s v="2022-07-10"/>
    <s v="2024-12-29"/>
    <n v="57100"/>
    <x v="0"/>
    <n v="2"/>
    <x v="68"/>
    <s v="Senior"/>
    <x v="0"/>
    <s v="no"/>
    <x v="6"/>
    <x v="1"/>
    <m/>
  </r>
  <r>
    <s v="E153"/>
    <s v="Karan"/>
    <x v="1"/>
    <x v="1"/>
    <x v="26"/>
    <s v="2022-11-09"/>
    <m/>
    <n v="111204"/>
    <x v="1"/>
    <n v="4"/>
    <x v="1"/>
    <s v="Senior"/>
    <x v="1"/>
    <m/>
    <x v="6"/>
    <x v="1"/>
    <m/>
  </r>
  <r>
    <s v="E154"/>
    <s v="Priya"/>
    <x v="4"/>
    <x v="0"/>
    <x v="5"/>
    <s v="2019-10-21"/>
    <m/>
    <n v="58788"/>
    <x v="1"/>
    <n v="4"/>
    <x v="1"/>
    <s v="Fresher"/>
    <x v="1"/>
    <m/>
    <x v="4"/>
    <x v="1"/>
    <m/>
  </r>
  <r>
    <s v="E155"/>
    <s v="Amit"/>
    <x v="4"/>
    <x v="0"/>
    <x v="23"/>
    <s v="2022-06-27"/>
    <s v="2025-04-15"/>
    <n v="63060"/>
    <x v="0"/>
    <n v="1"/>
    <x v="69"/>
    <s v="Menior"/>
    <x v="0"/>
    <s v="no"/>
    <x v="6"/>
    <x v="1"/>
    <m/>
  </r>
  <r>
    <s v="E156"/>
    <s v="Rohit"/>
    <x v="3"/>
    <x v="1"/>
    <x v="26"/>
    <s v="2021-09-17"/>
    <s v="2022-11-12"/>
    <n v="38348"/>
    <x v="0"/>
    <n v="3"/>
    <x v="70"/>
    <s v="Senior"/>
    <x v="1"/>
    <s v="yes"/>
    <x v="5"/>
    <x v="1"/>
    <m/>
  </r>
  <r>
    <s v="E157"/>
    <s v="Anjali"/>
    <x v="2"/>
    <x v="0"/>
    <x v="6"/>
    <s v="2019-12-07"/>
    <s v="2021-03-23"/>
    <n v="90638"/>
    <x v="0"/>
    <n v="1"/>
    <x v="71"/>
    <s v="Menior"/>
    <x v="0"/>
    <s v="yes"/>
    <x v="4"/>
    <x v="1"/>
    <m/>
  </r>
  <r>
    <s v="E158"/>
    <s v="Pooja"/>
    <x v="4"/>
    <x v="1"/>
    <x v="17"/>
    <s v="2016-05-18"/>
    <m/>
    <n v="36701"/>
    <x v="1"/>
    <n v="4"/>
    <x v="1"/>
    <s v="Senior"/>
    <x v="1"/>
    <m/>
    <x v="0"/>
    <x v="1"/>
    <m/>
  </r>
  <r>
    <s v="E159"/>
    <s v="Arjun"/>
    <x v="4"/>
    <x v="1"/>
    <x v="21"/>
    <s v="2017-06-30"/>
    <m/>
    <n v="52065"/>
    <x v="1"/>
    <n v="1"/>
    <x v="1"/>
    <s v="Senior"/>
    <x v="0"/>
    <m/>
    <x v="3"/>
    <x v="1"/>
    <m/>
  </r>
  <r>
    <s v="E160"/>
    <s v="Karan"/>
    <x v="0"/>
    <x v="0"/>
    <x v="16"/>
    <s v="2022-06-18"/>
    <m/>
    <n v="103450"/>
    <x v="1"/>
    <n v="2"/>
    <x v="1"/>
    <s v="Menior"/>
    <x v="0"/>
    <m/>
    <x v="6"/>
    <x v="1"/>
    <m/>
  </r>
  <r>
    <s v="E161"/>
    <s v="Priya"/>
    <x v="3"/>
    <x v="0"/>
    <x v="7"/>
    <s v="2015-08-19"/>
    <m/>
    <n v="76465"/>
    <x v="1"/>
    <n v="4"/>
    <x v="1"/>
    <s v="Menior"/>
    <x v="1"/>
    <m/>
    <x v="2"/>
    <x v="1"/>
    <m/>
  </r>
  <r>
    <s v="E162"/>
    <s v="Pooja"/>
    <x v="2"/>
    <x v="0"/>
    <x v="15"/>
    <s v="2016-10-31"/>
    <s v="2020-01-10"/>
    <n v="98695"/>
    <x v="0"/>
    <n v="1"/>
    <x v="72"/>
    <s v="Senior"/>
    <x v="0"/>
    <s v="no"/>
    <x v="0"/>
    <x v="1"/>
    <m/>
  </r>
  <r>
    <s v="E163"/>
    <s v="Rohit"/>
    <x v="2"/>
    <x v="1"/>
    <x v="1"/>
    <s v="2016-03-25"/>
    <s v="2019-09-21"/>
    <n v="99585"/>
    <x v="0"/>
    <n v="4"/>
    <x v="73"/>
    <s v="Senior"/>
    <x v="1"/>
    <s v="no"/>
    <x v="0"/>
    <x v="1"/>
    <m/>
  </r>
  <r>
    <s v="E164"/>
    <s v="Rahul"/>
    <x v="0"/>
    <x v="0"/>
    <x v="19"/>
    <s v="2021-03-30"/>
    <m/>
    <n v="94894"/>
    <x v="1"/>
    <n v="1"/>
    <x v="1"/>
    <s v="Senior"/>
    <x v="0"/>
    <m/>
    <x v="5"/>
    <x v="1"/>
    <m/>
  </r>
  <r>
    <s v="E165"/>
    <s v="Neha"/>
    <x v="0"/>
    <x v="0"/>
    <x v="7"/>
    <s v="2017-01-29"/>
    <m/>
    <n v="30795"/>
    <x v="1"/>
    <n v="4"/>
    <x v="1"/>
    <s v="Menior"/>
    <x v="1"/>
    <m/>
    <x v="3"/>
    <x v="1"/>
    <m/>
  </r>
  <r>
    <s v="E166"/>
    <s v="Rahul"/>
    <x v="4"/>
    <x v="1"/>
    <x v="13"/>
    <s v="2020-02-27"/>
    <m/>
    <n v="79361"/>
    <x v="1"/>
    <n v="5"/>
    <x v="1"/>
    <s v="Senior"/>
    <x v="2"/>
    <m/>
    <x v="7"/>
    <x v="1"/>
    <m/>
  </r>
  <r>
    <s v="E167"/>
    <s v="Arjun"/>
    <x v="1"/>
    <x v="1"/>
    <x v="1"/>
    <s v="2021-03-21"/>
    <s v="2024-10-29"/>
    <n v="109725"/>
    <x v="0"/>
    <n v="2"/>
    <x v="74"/>
    <s v="Senior"/>
    <x v="0"/>
    <s v="no"/>
    <x v="5"/>
    <x v="1"/>
    <m/>
  </r>
  <r>
    <s v="E168"/>
    <s v="Amit"/>
    <x v="4"/>
    <x v="1"/>
    <x v="25"/>
    <s v="2022-07-14"/>
    <s v="2024-03-14"/>
    <n v="94622"/>
    <x v="0"/>
    <n v="4"/>
    <x v="75"/>
    <s v="Fresher"/>
    <x v="1"/>
    <s v="yes"/>
    <x v="6"/>
    <x v="1"/>
    <m/>
  </r>
  <r>
    <s v="E169"/>
    <s v="Neha"/>
    <x v="2"/>
    <x v="1"/>
    <x v="25"/>
    <s v="2019-11-01"/>
    <m/>
    <n v="62641"/>
    <x v="1"/>
    <n v="4"/>
    <x v="1"/>
    <s v="Fresher"/>
    <x v="1"/>
    <m/>
    <x v="4"/>
    <x v="1"/>
    <m/>
  </r>
  <r>
    <s v="E170"/>
    <s v="Neha"/>
    <x v="3"/>
    <x v="0"/>
    <x v="3"/>
    <s v="2015-01-15"/>
    <s v="2016-08-02"/>
    <n v="58647"/>
    <x v="0"/>
    <n v="3"/>
    <x v="76"/>
    <s v="Fresher"/>
    <x v="1"/>
    <s v="yes"/>
    <x v="2"/>
    <x v="1"/>
    <m/>
  </r>
  <r>
    <s v="E171"/>
    <s v="Arjun"/>
    <x v="2"/>
    <x v="1"/>
    <x v="14"/>
    <s v="2022-05-19"/>
    <s v="2025-02-06"/>
    <n v="28220"/>
    <x v="0"/>
    <n v="1"/>
    <x v="77"/>
    <s v="Senior"/>
    <x v="0"/>
    <s v="no"/>
    <x v="6"/>
    <x v="1"/>
    <m/>
  </r>
  <r>
    <s v="E172"/>
    <s v="Priya"/>
    <x v="3"/>
    <x v="0"/>
    <x v="20"/>
    <s v="2020-11-27"/>
    <m/>
    <n v="41042"/>
    <x v="1"/>
    <n v="2"/>
    <x v="1"/>
    <s v="Senior"/>
    <x v="0"/>
    <m/>
    <x v="7"/>
    <x v="1"/>
    <m/>
  </r>
  <r>
    <s v="E173"/>
    <s v="Rohit"/>
    <x v="0"/>
    <x v="1"/>
    <x v="0"/>
    <s v="2016-10-16"/>
    <s v="2017-06-19"/>
    <n v="35678"/>
    <x v="0"/>
    <n v="3"/>
    <x v="78"/>
    <s v="Fresher"/>
    <x v="1"/>
    <s v="yes"/>
    <x v="0"/>
    <x v="1"/>
    <m/>
  </r>
  <r>
    <s v="E174"/>
    <s v="Arjun"/>
    <x v="2"/>
    <x v="0"/>
    <x v="19"/>
    <s v="2016-09-06"/>
    <s v="2019-05-23"/>
    <n v="92625"/>
    <x v="0"/>
    <n v="2"/>
    <x v="79"/>
    <s v="Senior"/>
    <x v="0"/>
    <s v="no"/>
    <x v="0"/>
    <x v="1"/>
    <m/>
  </r>
  <r>
    <s v="E175"/>
    <s v="Arjun"/>
    <x v="4"/>
    <x v="0"/>
    <x v="9"/>
    <s v="2019-06-04"/>
    <m/>
    <n v="78034"/>
    <x v="1"/>
    <n v="2"/>
    <x v="1"/>
    <s v="Menior"/>
    <x v="0"/>
    <m/>
    <x v="4"/>
    <x v="1"/>
    <m/>
  </r>
  <r>
    <s v="E176"/>
    <s v="Sneha"/>
    <x v="0"/>
    <x v="0"/>
    <x v="8"/>
    <s v="2021-08-03"/>
    <s v="2024-05-30"/>
    <n v="58991"/>
    <x v="0"/>
    <n v="5"/>
    <x v="80"/>
    <s v="Menior"/>
    <x v="2"/>
    <s v="no"/>
    <x v="5"/>
    <x v="1"/>
    <m/>
  </r>
  <r>
    <s v="E177"/>
    <s v="Rohit"/>
    <x v="1"/>
    <x v="1"/>
    <x v="9"/>
    <s v="2020-11-28"/>
    <m/>
    <n v="30171"/>
    <x v="1"/>
    <n v="2"/>
    <x v="1"/>
    <s v="Menior"/>
    <x v="0"/>
    <m/>
    <x v="7"/>
    <x v="1"/>
    <m/>
  </r>
  <r>
    <s v="E178"/>
    <s v="Sneha"/>
    <x v="1"/>
    <x v="1"/>
    <x v="21"/>
    <s v="2021-07-07"/>
    <m/>
    <n v="34665"/>
    <x v="1"/>
    <n v="5"/>
    <x v="1"/>
    <s v="Senior"/>
    <x v="2"/>
    <m/>
    <x v="5"/>
    <x v="1"/>
    <m/>
  </r>
  <r>
    <s v="E179"/>
    <s v="Rahul"/>
    <x v="0"/>
    <x v="1"/>
    <x v="5"/>
    <s v="2020-12-23"/>
    <s v="2023-06-11"/>
    <n v="110412"/>
    <x v="0"/>
    <n v="1"/>
    <x v="81"/>
    <s v="Fresher"/>
    <x v="0"/>
    <s v="no"/>
    <x v="7"/>
    <x v="1"/>
    <m/>
  </r>
  <r>
    <s v="E180"/>
    <s v="Arjun"/>
    <x v="4"/>
    <x v="1"/>
    <x v="5"/>
    <s v="2020-10-16"/>
    <m/>
    <n v="117480"/>
    <x v="1"/>
    <n v="4"/>
    <x v="1"/>
    <s v="Fresher"/>
    <x v="1"/>
    <m/>
    <x v="7"/>
    <x v="1"/>
    <m/>
  </r>
  <r>
    <s v="E181"/>
    <s v="Anjali"/>
    <x v="2"/>
    <x v="0"/>
    <x v="26"/>
    <s v="2020-08-17"/>
    <m/>
    <n v="109293"/>
    <x v="1"/>
    <n v="3"/>
    <x v="1"/>
    <s v="Senior"/>
    <x v="1"/>
    <m/>
    <x v="7"/>
    <x v="1"/>
    <m/>
  </r>
  <r>
    <s v="E182"/>
    <s v="Arjun"/>
    <x v="4"/>
    <x v="1"/>
    <x v="2"/>
    <s v="2015-04-06"/>
    <m/>
    <n v="64024"/>
    <x v="1"/>
    <n v="5"/>
    <x v="1"/>
    <s v="Fresher"/>
    <x v="2"/>
    <m/>
    <x v="2"/>
    <x v="1"/>
    <m/>
  </r>
  <r>
    <s v="E183"/>
    <s v="Rohit"/>
    <x v="4"/>
    <x v="0"/>
    <x v="12"/>
    <s v="2017-12-06"/>
    <m/>
    <n v="76015"/>
    <x v="1"/>
    <n v="1"/>
    <x v="1"/>
    <s v="Menior"/>
    <x v="0"/>
    <m/>
    <x v="3"/>
    <x v="1"/>
    <m/>
  </r>
  <r>
    <s v="E184"/>
    <s v="Arjun"/>
    <x v="0"/>
    <x v="1"/>
    <x v="14"/>
    <s v="2017-08-02"/>
    <m/>
    <n v="34201"/>
    <x v="1"/>
    <n v="2"/>
    <x v="1"/>
    <s v="Senior"/>
    <x v="0"/>
    <m/>
    <x v="3"/>
    <x v="1"/>
    <m/>
  </r>
  <r>
    <s v="E185"/>
    <s v="Karan"/>
    <x v="0"/>
    <x v="0"/>
    <x v="16"/>
    <s v="2020-07-05"/>
    <m/>
    <n v="111740"/>
    <x v="1"/>
    <n v="5"/>
    <x v="1"/>
    <s v="Menior"/>
    <x v="2"/>
    <m/>
    <x v="7"/>
    <x v="1"/>
    <m/>
  </r>
  <r>
    <s v="E186"/>
    <s v="Pooja"/>
    <x v="0"/>
    <x v="0"/>
    <x v="12"/>
    <s v="2017-07-02"/>
    <m/>
    <n v="81992"/>
    <x v="1"/>
    <n v="4"/>
    <x v="1"/>
    <s v="Menior"/>
    <x v="1"/>
    <m/>
    <x v="3"/>
    <x v="1"/>
    <m/>
  </r>
  <r>
    <s v="E187"/>
    <s v="Karan"/>
    <x v="2"/>
    <x v="0"/>
    <x v="0"/>
    <s v="2020-08-04"/>
    <m/>
    <n v="115906"/>
    <x v="1"/>
    <n v="1"/>
    <x v="1"/>
    <s v="Fresher"/>
    <x v="0"/>
    <m/>
    <x v="7"/>
    <x v="1"/>
    <m/>
  </r>
  <r>
    <s v="E188"/>
    <s v="Amit"/>
    <x v="1"/>
    <x v="1"/>
    <x v="1"/>
    <s v="2020-02-17"/>
    <m/>
    <n v="118088"/>
    <x v="1"/>
    <n v="2"/>
    <x v="1"/>
    <s v="Senior"/>
    <x v="0"/>
    <m/>
    <x v="7"/>
    <x v="1"/>
    <m/>
  </r>
  <r>
    <s v="E189"/>
    <s v="Neha"/>
    <x v="3"/>
    <x v="0"/>
    <x v="18"/>
    <s v="2021-04-14"/>
    <s v="2023-06-05"/>
    <n v="95506"/>
    <x v="0"/>
    <n v="3"/>
    <x v="82"/>
    <s v="Senior"/>
    <x v="1"/>
    <s v="no"/>
    <x v="5"/>
    <x v="1"/>
    <m/>
  </r>
  <r>
    <s v="E190"/>
    <s v="Amit"/>
    <x v="4"/>
    <x v="1"/>
    <x v="14"/>
    <s v="2016-12-03"/>
    <s v="2017-01-13"/>
    <n v="107671"/>
    <x v="0"/>
    <n v="5"/>
    <x v="83"/>
    <s v="Senior"/>
    <x v="2"/>
    <s v="yes"/>
    <x v="0"/>
    <x v="1"/>
    <m/>
  </r>
  <r>
    <s v="E191"/>
    <s v="Sneha"/>
    <x v="0"/>
    <x v="0"/>
    <x v="12"/>
    <s v="2016-04-02"/>
    <s v="2018-12-28"/>
    <n v="74959"/>
    <x v="0"/>
    <n v="1"/>
    <x v="84"/>
    <s v="Menior"/>
    <x v="0"/>
    <s v="no"/>
    <x v="0"/>
    <x v="1"/>
    <m/>
  </r>
  <r>
    <s v="E192"/>
    <s v="Pooja"/>
    <x v="4"/>
    <x v="0"/>
    <x v="19"/>
    <s v="2020-04-24"/>
    <m/>
    <n v="44203"/>
    <x v="1"/>
    <n v="4"/>
    <x v="1"/>
    <s v="Senior"/>
    <x v="1"/>
    <m/>
    <x v="7"/>
    <x v="1"/>
    <m/>
  </r>
  <r>
    <s v="E193"/>
    <s v="Amit"/>
    <x v="1"/>
    <x v="1"/>
    <x v="11"/>
    <s v="2022-09-13"/>
    <m/>
    <n v="118954"/>
    <x v="1"/>
    <n v="2"/>
    <x v="1"/>
    <s v="Senior"/>
    <x v="0"/>
    <m/>
    <x v="6"/>
    <x v="1"/>
    <m/>
  </r>
  <r>
    <s v="E194"/>
    <s v="Karan"/>
    <x v="3"/>
    <x v="0"/>
    <x v="25"/>
    <s v="2021-03-22"/>
    <s v="2023-11-16"/>
    <n v="78614"/>
    <x v="0"/>
    <n v="5"/>
    <x v="85"/>
    <s v="Fresher"/>
    <x v="2"/>
    <s v="no"/>
    <x v="5"/>
    <x v="1"/>
    <m/>
  </r>
  <r>
    <s v="E195"/>
    <s v="Sneha"/>
    <x v="2"/>
    <x v="0"/>
    <x v="1"/>
    <s v="2017-12-07"/>
    <s v="2018-04-03"/>
    <n v="70986"/>
    <x v="0"/>
    <n v="4"/>
    <x v="86"/>
    <s v="Senior"/>
    <x v="1"/>
    <s v="yes"/>
    <x v="3"/>
    <x v="1"/>
    <m/>
  </r>
  <r>
    <s v="E196"/>
    <s v="Rahul"/>
    <x v="1"/>
    <x v="0"/>
    <x v="18"/>
    <s v="2017-04-24"/>
    <m/>
    <n v="84885"/>
    <x v="1"/>
    <n v="4"/>
    <x v="1"/>
    <s v="Senior"/>
    <x v="1"/>
    <m/>
    <x v="3"/>
    <x v="1"/>
    <m/>
  </r>
  <r>
    <s v="E197"/>
    <s v="Pooja"/>
    <x v="1"/>
    <x v="1"/>
    <x v="15"/>
    <s v="2018-01-01"/>
    <m/>
    <n v="42401"/>
    <x v="1"/>
    <n v="3"/>
    <x v="1"/>
    <s v="Senior"/>
    <x v="1"/>
    <m/>
    <x v="1"/>
    <x v="1"/>
    <m/>
  </r>
  <r>
    <s v="E198"/>
    <s v="Rohit"/>
    <x v="2"/>
    <x v="1"/>
    <x v="0"/>
    <s v="2017-09-01"/>
    <m/>
    <n v="42824"/>
    <x v="1"/>
    <n v="2"/>
    <x v="1"/>
    <s v="Fresher"/>
    <x v="0"/>
    <m/>
    <x v="3"/>
    <x v="1"/>
    <m/>
  </r>
  <r>
    <s v="E199"/>
    <s v="Arjun"/>
    <x v="2"/>
    <x v="1"/>
    <x v="28"/>
    <s v="2016-04-23"/>
    <s v="2019-08-19"/>
    <n v="70664"/>
    <x v="0"/>
    <n v="1"/>
    <x v="87"/>
    <s v="Menior"/>
    <x v="0"/>
    <s v="no"/>
    <x v="0"/>
    <x v="1"/>
    <m/>
  </r>
  <r>
    <s v="E200"/>
    <s v="Rahul"/>
    <x v="3"/>
    <x v="0"/>
    <x v="8"/>
    <s v="2018-04-13"/>
    <s v="2020-11-01"/>
    <n v="111564"/>
    <x v="0"/>
    <n v="1"/>
    <x v="88"/>
    <s v="Menior"/>
    <x v="0"/>
    <s v="no"/>
    <x v="1"/>
    <x v="1"/>
    <m/>
  </r>
  <r>
    <s v="E201"/>
    <s v="Neha"/>
    <x v="2"/>
    <x v="0"/>
    <x v="8"/>
    <s v="2020-02-11"/>
    <m/>
    <n v="33083"/>
    <x v="1"/>
    <n v="2"/>
    <x v="1"/>
    <s v="Menior"/>
    <x v="0"/>
    <m/>
    <x v="7"/>
    <x v="1"/>
    <m/>
  </r>
  <r>
    <s v="E202"/>
    <s v="Karan"/>
    <x v="3"/>
    <x v="0"/>
    <x v="25"/>
    <s v="2018-11-24"/>
    <s v="2021-12-16"/>
    <n v="33603"/>
    <x v="0"/>
    <n v="4"/>
    <x v="89"/>
    <s v="Fresher"/>
    <x v="1"/>
    <s v="no"/>
    <x v="1"/>
    <x v="1"/>
    <m/>
  </r>
  <r>
    <s v="E203"/>
    <s v="Priya"/>
    <x v="0"/>
    <x v="1"/>
    <x v="19"/>
    <s v="2016-08-02"/>
    <s v="2017-08-07"/>
    <n v="38283"/>
    <x v="0"/>
    <n v="2"/>
    <x v="90"/>
    <s v="Senior"/>
    <x v="0"/>
    <s v="yes"/>
    <x v="0"/>
    <x v="1"/>
    <m/>
  </r>
  <r>
    <s v="E204"/>
    <s v="Amit"/>
    <x v="3"/>
    <x v="1"/>
    <x v="24"/>
    <s v="2018-03-30"/>
    <m/>
    <n v="34042"/>
    <x v="1"/>
    <n v="2"/>
    <x v="1"/>
    <s v="Menior"/>
    <x v="0"/>
    <m/>
    <x v="1"/>
    <x v="1"/>
    <m/>
  </r>
  <r>
    <s v="E205"/>
    <s v="Karan"/>
    <x v="1"/>
    <x v="1"/>
    <x v="3"/>
    <s v="2019-12-15"/>
    <s v="2020-09-27"/>
    <n v="53494"/>
    <x v="0"/>
    <n v="2"/>
    <x v="91"/>
    <s v="Fresher"/>
    <x v="0"/>
    <s v="yes"/>
    <x v="4"/>
    <x v="1"/>
    <m/>
  </r>
  <r>
    <s v="E206"/>
    <s v="Amit"/>
    <x v="4"/>
    <x v="1"/>
    <x v="24"/>
    <s v="2022-01-24"/>
    <m/>
    <n v="63281"/>
    <x v="1"/>
    <n v="2"/>
    <x v="1"/>
    <s v="Menior"/>
    <x v="0"/>
    <m/>
    <x v="6"/>
    <x v="1"/>
    <m/>
  </r>
  <r>
    <s v="E207"/>
    <s v="Rahul"/>
    <x v="0"/>
    <x v="0"/>
    <x v="13"/>
    <s v="2016-08-27"/>
    <s v="2018-07-29"/>
    <n v="112965"/>
    <x v="0"/>
    <n v="5"/>
    <x v="92"/>
    <s v="Senior"/>
    <x v="2"/>
    <s v="yes"/>
    <x v="0"/>
    <x v="1"/>
    <m/>
  </r>
  <r>
    <s v="E208"/>
    <s v="Pooja"/>
    <x v="2"/>
    <x v="1"/>
    <x v="26"/>
    <s v="2023-02-20"/>
    <m/>
    <n v="39180"/>
    <x v="1"/>
    <n v="3"/>
    <x v="1"/>
    <s v="Senior"/>
    <x v="1"/>
    <m/>
    <x v="8"/>
    <x v="1"/>
    <m/>
  </r>
  <r>
    <s v="E209"/>
    <s v="Neha"/>
    <x v="1"/>
    <x v="1"/>
    <x v="15"/>
    <s v="2017-04-08"/>
    <s v="2019-06-04"/>
    <n v="106438"/>
    <x v="0"/>
    <n v="2"/>
    <x v="93"/>
    <s v="Senior"/>
    <x v="0"/>
    <s v="no"/>
    <x v="3"/>
    <x v="1"/>
    <m/>
  </r>
  <r>
    <s v="E210"/>
    <s v="Pooja"/>
    <x v="3"/>
    <x v="1"/>
    <x v="19"/>
    <s v="2023-03-01"/>
    <s v="2025-07-22"/>
    <n v="114178"/>
    <x v="0"/>
    <n v="2"/>
    <x v="94"/>
    <s v="Senior"/>
    <x v="0"/>
    <s v="no"/>
    <x v="8"/>
    <x v="1"/>
    <m/>
  </r>
  <r>
    <s v="E211"/>
    <s v="Sneha"/>
    <x v="4"/>
    <x v="1"/>
    <x v="21"/>
    <s v="2020-08-21"/>
    <s v="2022-08-12"/>
    <n v="48666"/>
    <x v="0"/>
    <n v="4"/>
    <x v="95"/>
    <s v="Senior"/>
    <x v="1"/>
    <s v="yes"/>
    <x v="7"/>
    <x v="1"/>
    <m/>
  </r>
  <r>
    <s v="E212"/>
    <s v="Rohit"/>
    <x v="3"/>
    <x v="0"/>
    <x v="18"/>
    <s v="2018-10-02"/>
    <m/>
    <n v="115115"/>
    <x v="1"/>
    <n v="3"/>
    <x v="1"/>
    <s v="Senior"/>
    <x v="1"/>
    <m/>
    <x v="1"/>
    <x v="1"/>
    <m/>
  </r>
  <r>
    <s v="E213"/>
    <s v="Anjali"/>
    <x v="4"/>
    <x v="0"/>
    <x v="28"/>
    <s v="2018-10-29"/>
    <m/>
    <n v="44789"/>
    <x v="1"/>
    <n v="5"/>
    <x v="1"/>
    <s v="Menior"/>
    <x v="2"/>
    <m/>
    <x v="1"/>
    <x v="1"/>
    <m/>
  </r>
  <r>
    <s v="E214"/>
    <s v="Pooja"/>
    <x v="4"/>
    <x v="1"/>
    <x v="1"/>
    <s v="2017-01-03"/>
    <s v="2020-01-27"/>
    <n v="34019"/>
    <x v="0"/>
    <n v="1"/>
    <x v="96"/>
    <s v="Senior"/>
    <x v="0"/>
    <s v="no"/>
    <x v="3"/>
    <x v="1"/>
    <m/>
  </r>
  <r>
    <s v="E215"/>
    <s v="Karan"/>
    <x v="3"/>
    <x v="1"/>
    <x v="7"/>
    <s v="2020-07-27"/>
    <s v="2023-03-26"/>
    <n v="52467"/>
    <x v="0"/>
    <n v="2"/>
    <x v="97"/>
    <s v="Menior"/>
    <x v="0"/>
    <s v="no"/>
    <x v="7"/>
    <x v="1"/>
    <m/>
  </r>
  <r>
    <s v="E216"/>
    <s v="Karan"/>
    <x v="1"/>
    <x v="1"/>
    <x v="22"/>
    <s v="2021-02-19"/>
    <m/>
    <n v="35440"/>
    <x v="1"/>
    <n v="5"/>
    <x v="1"/>
    <s v="Fresher"/>
    <x v="2"/>
    <m/>
    <x v="5"/>
    <x v="1"/>
    <m/>
  </r>
  <r>
    <s v="E217"/>
    <s v="Karan"/>
    <x v="2"/>
    <x v="0"/>
    <x v="9"/>
    <s v="2020-10-16"/>
    <s v="2022-01-15"/>
    <n v="33210"/>
    <x v="0"/>
    <n v="2"/>
    <x v="98"/>
    <s v="Menior"/>
    <x v="0"/>
    <s v="yes"/>
    <x v="7"/>
    <x v="1"/>
    <m/>
  </r>
  <r>
    <s v="E218"/>
    <s v="Rohit"/>
    <x v="0"/>
    <x v="0"/>
    <x v="9"/>
    <s v="2021-01-04"/>
    <s v="2024-08-24"/>
    <n v="88016"/>
    <x v="0"/>
    <n v="4"/>
    <x v="99"/>
    <s v="Menior"/>
    <x v="1"/>
    <s v="no"/>
    <x v="5"/>
    <x v="1"/>
    <m/>
  </r>
  <r>
    <s v="E219"/>
    <s v="Neha"/>
    <x v="4"/>
    <x v="0"/>
    <x v="11"/>
    <s v="2020-08-14"/>
    <m/>
    <n v="37522"/>
    <x v="1"/>
    <n v="4"/>
    <x v="1"/>
    <s v="Senior"/>
    <x v="1"/>
    <m/>
    <x v="7"/>
    <x v="1"/>
    <m/>
  </r>
  <r>
    <s v="E220"/>
    <s v="Rahul"/>
    <x v="2"/>
    <x v="1"/>
    <x v="7"/>
    <s v="2015-05-28"/>
    <m/>
    <n v="47782"/>
    <x v="1"/>
    <n v="1"/>
    <x v="1"/>
    <s v="Menior"/>
    <x v="0"/>
    <m/>
    <x v="2"/>
    <x v="1"/>
    <m/>
  </r>
  <r>
    <s v="E221"/>
    <s v="Arjun"/>
    <x v="4"/>
    <x v="1"/>
    <x v="12"/>
    <s v="2021-03-29"/>
    <s v="2023-09-01"/>
    <n v="99327"/>
    <x v="0"/>
    <n v="1"/>
    <x v="100"/>
    <s v="Menior"/>
    <x v="0"/>
    <s v="no"/>
    <x v="5"/>
    <x v="1"/>
    <m/>
  </r>
  <r>
    <s v="E222"/>
    <s v="Sneha"/>
    <x v="4"/>
    <x v="1"/>
    <x v="22"/>
    <s v="2020-09-10"/>
    <s v="2022-06-29"/>
    <n v="49954"/>
    <x v="0"/>
    <n v="4"/>
    <x v="101"/>
    <s v="Fresher"/>
    <x v="1"/>
    <s v="yes"/>
    <x v="7"/>
    <x v="1"/>
    <m/>
  </r>
  <r>
    <s v="E223"/>
    <s v="Anjali"/>
    <x v="1"/>
    <x v="0"/>
    <x v="6"/>
    <s v="2017-09-27"/>
    <m/>
    <n v="101559"/>
    <x v="1"/>
    <n v="1"/>
    <x v="1"/>
    <s v="Menior"/>
    <x v="0"/>
    <m/>
    <x v="3"/>
    <x v="1"/>
    <m/>
  </r>
  <r>
    <s v="E224"/>
    <s v="Priya"/>
    <x v="4"/>
    <x v="1"/>
    <x v="23"/>
    <s v="2015-03-09"/>
    <m/>
    <n v="42688"/>
    <x v="1"/>
    <n v="2"/>
    <x v="1"/>
    <s v="Menior"/>
    <x v="0"/>
    <m/>
    <x v="2"/>
    <x v="1"/>
    <m/>
  </r>
  <r>
    <s v="E225"/>
    <s v="Sneha"/>
    <x v="0"/>
    <x v="1"/>
    <x v="18"/>
    <s v="2016-03-13"/>
    <s v="2018-09-24"/>
    <n v="56707"/>
    <x v="0"/>
    <n v="5"/>
    <x v="102"/>
    <s v="Senior"/>
    <x v="2"/>
    <s v="no"/>
    <x v="0"/>
    <x v="1"/>
    <m/>
  </r>
  <r>
    <s v="E226"/>
    <s v="Anjali"/>
    <x v="1"/>
    <x v="1"/>
    <x v="25"/>
    <s v="2018-10-08"/>
    <s v="2020-04-10"/>
    <n v="112225"/>
    <x v="0"/>
    <n v="3"/>
    <x v="103"/>
    <s v="Fresher"/>
    <x v="1"/>
    <s v="yes"/>
    <x v="1"/>
    <x v="1"/>
    <m/>
  </r>
  <r>
    <s v="E227"/>
    <s v="Arjun"/>
    <x v="4"/>
    <x v="1"/>
    <x v="0"/>
    <s v="2022-11-29"/>
    <s v="2023-05-31"/>
    <n v="25421"/>
    <x v="0"/>
    <n v="2"/>
    <x v="104"/>
    <s v="Fresher"/>
    <x v="0"/>
    <s v="yes"/>
    <x v="6"/>
    <x v="1"/>
    <m/>
  </r>
  <r>
    <s v="E228"/>
    <s v="Arjun"/>
    <x v="4"/>
    <x v="1"/>
    <x v="16"/>
    <s v="2023-02-27"/>
    <m/>
    <n v="26687"/>
    <x v="1"/>
    <n v="4"/>
    <x v="1"/>
    <s v="Menior"/>
    <x v="1"/>
    <m/>
    <x v="8"/>
    <x v="1"/>
    <m/>
  </r>
  <r>
    <s v="E229"/>
    <s v="Anjali"/>
    <x v="2"/>
    <x v="0"/>
    <x v="0"/>
    <s v="2021-08-28"/>
    <m/>
    <n v="56668"/>
    <x v="1"/>
    <n v="3"/>
    <x v="1"/>
    <s v="Fresher"/>
    <x v="1"/>
    <m/>
    <x v="5"/>
    <x v="1"/>
    <m/>
  </r>
  <r>
    <s v="E230"/>
    <s v="Pooja"/>
    <x v="2"/>
    <x v="1"/>
    <x v="19"/>
    <s v="2019-12-07"/>
    <m/>
    <n v="37127"/>
    <x v="1"/>
    <n v="4"/>
    <x v="1"/>
    <s v="Senior"/>
    <x v="1"/>
    <m/>
    <x v="4"/>
    <x v="1"/>
    <m/>
  </r>
  <r>
    <s v="E231"/>
    <s v="Anjali"/>
    <x v="4"/>
    <x v="1"/>
    <x v="4"/>
    <s v="2018-02-25"/>
    <s v="2021-04-10"/>
    <n v="101801"/>
    <x v="0"/>
    <n v="5"/>
    <x v="105"/>
    <s v="Fresher"/>
    <x v="2"/>
    <s v="no"/>
    <x v="1"/>
    <x v="1"/>
    <m/>
  </r>
  <r>
    <s v="E232"/>
    <s v="Rahul"/>
    <x v="4"/>
    <x v="0"/>
    <x v="22"/>
    <s v="2020-09-27"/>
    <s v="2024-07-20"/>
    <n v="78924"/>
    <x v="0"/>
    <n v="2"/>
    <x v="106"/>
    <s v="Fresher"/>
    <x v="0"/>
    <s v="no"/>
    <x v="7"/>
    <x v="1"/>
    <m/>
  </r>
  <r>
    <s v="E233"/>
    <s v="Anjali"/>
    <x v="0"/>
    <x v="1"/>
    <x v="16"/>
    <s v="2015-12-02"/>
    <s v="2016-12-02"/>
    <n v="107162"/>
    <x v="0"/>
    <n v="2"/>
    <x v="107"/>
    <s v="Menior"/>
    <x v="0"/>
    <s v="yes"/>
    <x v="2"/>
    <x v="1"/>
    <m/>
  </r>
  <r>
    <s v="E234"/>
    <s v="Rahul"/>
    <x v="3"/>
    <x v="0"/>
    <x v="5"/>
    <s v="2016-09-22"/>
    <s v="2018-07-10"/>
    <n v="108034"/>
    <x v="0"/>
    <n v="1"/>
    <x v="108"/>
    <s v="Fresher"/>
    <x v="0"/>
    <s v="yes"/>
    <x v="0"/>
    <x v="1"/>
    <m/>
  </r>
  <r>
    <s v="E235"/>
    <s v="Pooja"/>
    <x v="3"/>
    <x v="0"/>
    <x v="17"/>
    <s v="2016-12-07"/>
    <m/>
    <n v="71857"/>
    <x v="1"/>
    <n v="4"/>
    <x v="1"/>
    <s v="Senior"/>
    <x v="1"/>
    <m/>
    <x v="0"/>
    <x v="1"/>
    <m/>
  </r>
  <r>
    <s v="E236"/>
    <s v="Rohit"/>
    <x v="3"/>
    <x v="0"/>
    <x v="23"/>
    <s v="2022-12-31"/>
    <s v="2027-01-21"/>
    <n v="26415"/>
    <x v="0"/>
    <n v="4"/>
    <x v="109"/>
    <s v="Menior"/>
    <x v="1"/>
    <s v="no"/>
    <x v="6"/>
    <x v="1"/>
    <m/>
  </r>
  <r>
    <s v="E237"/>
    <s v="Arjun"/>
    <x v="1"/>
    <x v="1"/>
    <x v="7"/>
    <s v="2015-12-28"/>
    <s v="2019-06-10"/>
    <n v="114608"/>
    <x v="0"/>
    <n v="5"/>
    <x v="110"/>
    <s v="Menior"/>
    <x v="2"/>
    <s v="no"/>
    <x v="2"/>
    <x v="1"/>
    <m/>
  </r>
  <r>
    <s v="E238"/>
    <s v="Karan"/>
    <x v="3"/>
    <x v="1"/>
    <x v="6"/>
    <s v="2017-12-02"/>
    <s v="2019-07-12"/>
    <n v="115200"/>
    <x v="0"/>
    <n v="5"/>
    <x v="111"/>
    <s v="Menior"/>
    <x v="2"/>
    <s v="yes"/>
    <x v="3"/>
    <x v="1"/>
    <m/>
  </r>
  <r>
    <s v="E239"/>
    <s v="Sneha"/>
    <x v="3"/>
    <x v="0"/>
    <x v="24"/>
    <s v="2019-01-03"/>
    <m/>
    <n v="86188"/>
    <x v="1"/>
    <n v="3"/>
    <x v="1"/>
    <s v="Menior"/>
    <x v="1"/>
    <m/>
    <x v="4"/>
    <x v="1"/>
    <m/>
  </r>
  <r>
    <s v="E240"/>
    <s v="Sneha"/>
    <x v="2"/>
    <x v="0"/>
    <x v="24"/>
    <s v="2019-08-25"/>
    <m/>
    <n v="40351"/>
    <x v="1"/>
    <n v="4"/>
    <x v="1"/>
    <s v="Menior"/>
    <x v="1"/>
    <m/>
    <x v="4"/>
    <x v="1"/>
    <m/>
  </r>
  <r>
    <s v="E241"/>
    <s v="Anjali"/>
    <x v="0"/>
    <x v="1"/>
    <x v="3"/>
    <s v="2021-01-03"/>
    <s v="2022-08-14"/>
    <n v="80023"/>
    <x v="0"/>
    <n v="3"/>
    <x v="62"/>
    <s v="Fresher"/>
    <x v="1"/>
    <s v="yes"/>
    <x v="5"/>
    <x v="1"/>
    <m/>
  </r>
  <r>
    <s v="E242"/>
    <s v="Rahul"/>
    <x v="0"/>
    <x v="0"/>
    <x v="12"/>
    <s v="2023-02-08"/>
    <s v="2026-02-14"/>
    <n v="53272"/>
    <x v="0"/>
    <n v="3"/>
    <x v="112"/>
    <s v="Menior"/>
    <x v="1"/>
    <s v="no"/>
    <x v="8"/>
    <x v="1"/>
    <m/>
  </r>
  <r>
    <s v="E243"/>
    <s v="Sneha"/>
    <x v="0"/>
    <x v="0"/>
    <x v="4"/>
    <s v="2015-10-29"/>
    <s v="2018-09-13"/>
    <n v="54136"/>
    <x v="0"/>
    <n v="1"/>
    <x v="113"/>
    <s v="Fresher"/>
    <x v="0"/>
    <s v="no"/>
    <x v="2"/>
    <x v="1"/>
    <m/>
  </r>
  <r>
    <s v="E244"/>
    <s v="Anjali"/>
    <x v="4"/>
    <x v="0"/>
    <x v="22"/>
    <s v="2017-05-11"/>
    <m/>
    <n v="119991"/>
    <x v="1"/>
    <n v="1"/>
    <x v="1"/>
    <s v="Fresher"/>
    <x v="0"/>
    <m/>
    <x v="3"/>
    <x v="1"/>
    <m/>
  </r>
  <r>
    <s v="E245"/>
    <s v="Amit"/>
    <x v="1"/>
    <x v="0"/>
    <x v="7"/>
    <s v="2023-01-25"/>
    <m/>
    <n v="75543"/>
    <x v="1"/>
    <n v="3"/>
    <x v="1"/>
    <s v="Menior"/>
    <x v="1"/>
    <m/>
    <x v="8"/>
    <x v="1"/>
    <m/>
  </r>
  <r>
    <s v="E246"/>
    <s v="Amit"/>
    <x v="2"/>
    <x v="0"/>
    <x v="10"/>
    <s v="2015-10-17"/>
    <m/>
    <n v="43870"/>
    <x v="1"/>
    <n v="5"/>
    <x v="1"/>
    <s v="Menior"/>
    <x v="2"/>
    <m/>
    <x v="2"/>
    <x v="1"/>
    <m/>
  </r>
  <r>
    <s v="E247"/>
    <s v="Neha"/>
    <x v="1"/>
    <x v="1"/>
    <x v="13"/>
    <s v="2022-03-22"/>
    <m/>
    <n v="118157"/>
    <x v="1"/>
    <n v="4"/>
    <x v="1"/>
    <s v="Senior"/>
    <x v="1"/>
    <m/>
    <x v="6"/>
    <x v="1"/>
    <m/>
  </r>
  <r>
    <s v="E248"/>
    <s v="Neha"/>
    <x v="4"/>
    <x v="0"/>
    <x v="4"/>
    <s v="2016-07-14"/>
    <s v="2019-08-27"/>
    <n v="28930"/>
    <x v="0"/>
    <n v="2"/>
    <x v="114"/>
    <s v="Fresher"/>
    <x v="0"/>
    <s v="no"/>
    <x v="0"/>
    <x v="1"/>
    <m/>
  </r>
  <r>
    <s v="E249"/>
    <s v="Rahul"/>
    <x v="0"/>
    <x v="1"/>
    <x v="21"/>
    <s v="2015-05-06"/>
    <s v="2017-08-06"/>
    <n v="104818"/>
    <x v="0"/>
    <n v="3"/>
    <x v="115"/>
    <s v="Senior"/>
    <x v="1"/>
    <s v="no"/>
    <x v="2"/>
    <x v="1"/>
    <m/>
  </r>
  <r>
    <s v="E250"/>
    <s v="Pooja"/>
    <x v="2"/>
    <x v="1"/>
    <x v="25"/>
    <s v="2015-03-24"/>
    <s v="2017-10-12"/>
    <n v="31666"/>
    <x v="0"/>
    <n v="1"/>
    <x v="88"/>
    <s v="Fresher"/>
    <x v="0"/>
    <s v="no"/>
    <x v="2"/>
    <x v="1"/>
    <m/>
  </r>
  <r>
    <s v="E251"/>
    <s v="Rahul"/>
    <x v="2"/>
    <x v="1"/>
    <x v="8"/>
    <s v="2018-11-28"/>
    <m/>
    <n v="73954"/>
    <x v="1"/>
    <n v="5"/>
    <x v="1"/>
    <s v="Menior"/>
    <x v="2"/>
    <m/>
    <x v="1"/>
    <x v="1"/>
    <m/>
  </r>
  <r>
    <s v="E252"/>
    <s v="Neha"/>
    <x v="0"/>
    <x v="1"/>
    <x v="11"/>
    <s v="2018-02-12"/>
    <s v="2019-10-14"/>
    <n v="32176"/>
    <x v="0"/>
    <n v="1"/>
    <x v="75"/>
    <s v="Senior"/>
    <x v="0"/>
    <s v="yes"/>
    <x v="1"/>
    <x v="1"/>
    <m/>
  </r>
  <r>
    <s v="E253"/>
    <s v="Priya"/>
    <x v="4"/>
    <x v="1"/>
    <x v="6"/>
    <s v="2022-09-28"/>
    <m/>
    <n v="102071"/>
    <x v="1"/>
    <n v="4"/>
    <x v="1"/>
    <s v="Menior"/>
    <x v="1"/>
    <m/>
    <x v="6"/>
    <x v="1"/>
    <m/>
  </r>
  <r>
    <s v="E254"/>
    <s v="Priya"/>
    <x v="1"/>
    <x v="1"/>
    <x v="26"/>
    <s v="2019-08-04"/>
    <s v="2020-09-25"/>
    <n v="28918"/>
    <x v="0"/>
    <n v="5"/>
    <x v="116"/>
    <s v="Senior"/>
    <x v="2"/>
    <s v="yes"/>
    <x v="4"/>
    <x v="1"/>
    <m/>
  </r>
  <r>
    <s v="E255"/>
    <s v="Pooja"/>
    <x v="4"/>
    <x v="0"/>
    <x v="16"/>
    <s v="2016-04-23"/>
    <s v="2019-05-08"/>
    <n v="48573"/>
    <x v="0"/>
    <n v="4"/>
    <x v="117"/>
    <s v="Menior"/>
    <x v="1"/>
    <s v="no"/>
    <x v="0"/>
    <x v="1"/>
    <m/>
  </r>
  <r>
    <s v="E256"/>
    <s v="Pooja"/>
    <x v="1"/>
    <x v="1"/>
    <x v="23"/>
    <s v="2018-01-09"/>
    <m/>
    <n v="40817"/>
    <x v="1"/>
    <n v="5"/>
    <x v="1"/>
    <s v="Menior"/>
    <x v="2"/>
    <m/>
    <x v="1"/>
    <x v="1"/>
    <m/>
  </r>
  <r>
    <s v="E257"/>
    <s v="Arjun"/>
    <x v="0"/>
    <x v="0"/>
    <x v="22"/>
    <s v="2020-01-07"/>
    <s v="2021-10-24"/>
    <n v="95453"/>
    <x v="0"/>
    <n v="2"/>
    <x v="108"/>
    <s v="Fresher"/>
    <x v="0"/>
    <s v="yes"/>
    <x v="7"/>
    <x v="1"/>
    <m/>
  </r>
  <r>
    <s v="E258"/>
    <s v="Anjali"/>
    <x v="2"/>
    <x v="1"/>
    <x v="26"/>
    <s v="2019-09-15"/>
    <s v="2020-09-30"/>
    <n v="39758"/>
    <x v="0"/>
    <n v="2"/>
    <x v="118"/>
    <s v="Senior"/>
    <x v="0"/>
    <s v="yes"/>
    <x v="4"/>
    <x v="1"/>
    <m/>
  </r>
  <r>
    <s v="E259"/>
    <s v="Neha"/>
    <x v="3"/>
    <x v="1"/>
    <x v="14"/>
    <s v="2018-10-24"/>
    <m/>
    <n v="116056"/>
    <x v="1"/>
    <n v="2"/>
    <x v="1"/>
    <s v="Senior"/>
    <x v="0"/>
    <m/>
    <x v="1"/>
    <x v="1"/>
    <m/>
  </r>
  <r>
    <s v="E260"/>
    <s v="Rahul"/>
    <x v="2"/>
    <x v="1"/>
    <x v="19"/>
    <s v="2016-04-07"/>
    <s v="2017-10-30"/>
    <n v="98914"/>
    <x v="0"/>
    <n v="5"/>
    <x v="119"/>
    <s v="Senior"/>
    <x v="2"/>
    <s v="yes"/>
    <x v="0"/>
    <x v="1"/>
    <m/>
  </r>
  <r>
    <s v="E261"/>
    <s v="Rohit"/>
    <x v="4"/>
    <x v="0"/>
    <x v="16"/>
    <s v="2018-05-23"/>
    <s v="2022-06-04"/>
    <n v="32507"/>
    <x v="0"/>
    <n v="4"/>
    <x v="120"/>
    <s v="Menior"/>
    <x v="1"/>
    <s v="no"/>
    <x v="1"/>
    <x v="1"/>
    <m/>
  </r>
  <r>
    <s v="E262"/>
    <s v="Arjun"/>
    <x v="2"/>
    <x v="0"/>
    <x v="26"/>
    <s v="2020-08-09"/>
    <s v="2024-02-14"/>
    <n v="101290"/>
    <x v="0"/>
    <n v="2"/>
    <x v="121"/>
    <s v="Senior"/>
    <x v="0"/>
    <s v="no"/>
    <x v="7"/>
    <x v="1"/>
    <m/>
  </r>
  <r>
    <s v="E263"/>
    <s v="Pooja"/>
    <x v="1"/>
    <x v="0"/>
    <x v="13"/>
    <s v="2016-04-27"/>
    <m/>
    <n v="27487"/>
    <x v="1"/>
    <n v="3"/>
    <x v="1"/>
    <s v="Senior"/>
    <x v="1"/>
    <m/>
    <x v="0"/>
    <x v="1"/>
    <m/>
  </r>
  <r>
    <s v="E264"/>
    <s v="Neha"/>
    <x v="3"/>
    <x v="1"/>
    <x v="21"/>
    <s v="2018-04-13"/>
    <s v="2021-12-20"/>
    <n v="27633"/>
    <x v="0"/>
    <n v="4"/>
    <x v="43"/>
    <s v="Senior"/>
    <x v="1"/>
    <s v="no"/>
    <x v="1"/>
    <x v="1"/>
    <m/>
  </r>
  <r>
    <s v="E265"/>
    <s v="Karan"/>
    <x v="4"/>
    <x v="1"/>
    <x v="26"/>
    <s v="2020-01-04"/>
    <s v="2020-12-16"/>
    <n v="40272"/>
    <x v="0"/>
    <n v="2"/>
    <x v="122"/>
    <s v="Senior"/>
    <x v="0"/>
    <s v="yes"/>
    <x v="7"/>
    <x v="1"/>
    <m/>
  </r>
  <r>
    <s v="E266"/>
    <s v="Anjali"/>
    <x v="2"/>
    <x v="1"/>
    <x v="8"/>
    <s v="2017-04-02"/>
    <s v="2020-07-11"/>
    <n v="92529"/>
    <x v="0"/>
    <n v="2"/>
    <x v="123"/>
    <s v="Menior"/>
    <x v="0"/>
    <s v="no"/>
    <x v="3"/>
    <x v="1"/>
    <m/>
  </r>
  <r>
    <s v="E267"/>
    <s v="Arjun"/>
    <x v="4"/>
    <x v="0"/>
    <x v="17"/>
    <s v="2016-01-10"/>
    <s v="2019-09-19"/>
    <n v="67213"/>
    <x v="0"/>
    <n v="1"/>
    <x v="124"/>
    <s v="Senior"/>
    <x v="0"/>
    <s v="no"/>
    <x v="0"/>
    <x v="1"/>
    <m/>
  </r>
  <r>
    <s v="E268"/>
    <s v="Pooja"/>
    <x v="2"/>
    <x v="0"/>
    <x v="10"/>
    <s v="2023-02-13"/>
    <s v="2024-09-01"/>
    <n v="34575"/>
    <x v="0"/>
    <n v="2"/>
    <x v="125"/>
    <s v="Menior"/>
    <x v="0"/>
    <s v="yes"/>
    <x v="8"/>
    <x v="1"/>
    <m/>
  </r>
  <r>
    <s v="E269"/>
    <s v="Neha"/>
    <x v="1"/>
    <x v="0"/>
    <x v="24"/>
    <s v="2019-07-31"/>
    <m/>
    <n v="54486"/>
    <x v="1"/>
    <n v="2"/>
    <x v="1"/>
    <s v="Menior"/>
    <x v="0"/>
    <m/>
    <x v="4"/>
    <x v="1"/>
    <m/>
  </r>
  <r>
    <s v="E270"/>
    <s v="Arjun"/>
    <x v="4"/>
    <x v="0"/>
    <x v="4"/>
    <s v="2019-10-23"/>
    <m/>
    <n v="98984"/>
    <x v="1"/>
    <n v="4"/>
    <x v="1"/>
    <s v="Fresher"/>
    <x v="1"/>
    <m/>
    <x v="4"/>
    <x v="1"/>
    <m/>
  </r>
  <r>
    <s v="E271"/>
    <s v="Rahul"/>
    <x v="1"/>
    <x v="1"/>
    <x v="8"/>
    <s v="2022-07-17"/>
    <s v="2025-11-26"/>
    <n v="82493"/>
    <x v="0"/>
    <n v="5"/>
    <x v="126"/>
    <s v="Menior"/>
    <x v="2"/>
    <s v="no"/>
    <x v="6"/>
    <x v="1"/>
    <m/>
  </r>
  <r>
    <s v="E272"/>
    <s v="Neha"/>
    <x v="1"/>
    <x v="1"/>
    <x v="6"/>
    <s v="2015-10-21"/>
    <s v="2017-08-05"/>
    <n v="80918"/>
    <x v="0"/>
    <n v="1"/>
    <x v="127"/>
    <s v="Menior"/>
    <x v="0"/>
    <s v="yes"/>
    <x v="2"/>
    <x v="1"/>
    <m/>
  </r>
  <r>
    <s v="E273"/>
    <s v="Rahul"/>
    <x v="3"/>
    <x v="0"/>
    <x v="15"/>
    <s v="2019-08-25"/>
    <s v="2023-07-07"/>
    <n v="81547"/>
    <x v="0"/>
    <n v="5"/>
    <x v="128"/>
    <s v="Senior"/>
    <x v="2"/>
    <s v="no"/>
    <x v="4"/>
    <x v="1"/>
    <m/>
  </r>
  <r>
    <s v="E274"/>
    <s v="Neha"/>
    <x v="2"/>
    <x v="1"/>
    <x v="3"/>
    <s v="2017-10-08"/>
    <s v="2018-11-28"/>
    <n v="54984"/>
    <x v="0"/>
    <n v="5"/>
    <x v="129"/>
    <s v="Fresher"/>
    <x v="2"/>
    <s v="yes"/>
    <x v="3"/>
    <x v="1"/>
    <m/>
  </r>
  <r>
    <s v="E275"/>
    <s v="Rahul"/>
    <x v="3"/>
    <x v="1"/>
    <x v="10"/>
    <s v="2018-09-01"/>
    <s v="2019-01-10"/>
    <n v="76237"/>
    <x v="0"/>
    <n v="2"/>
    <x v="130"/>
    <s v="Menior"/>
    <x v="0"/>
    <s v="yes"/>
    <x v="1"/>
    <x v="1"/>
    <m/>
  </r>
  <r>
    <s v="E276"/>
    <s v="Sneha"/>
    <x v="3"/>
    <x v="0"/>
    <x v="23"/>
    <s v="2018-12-03"/>
    <m/>
    <n v="92324"/>
    <x v="1"/>
    <n v="2"/>
    <x v="1"/>
    <s v="Menior"/>
    <x v="0"/>
    <m/>
    <x v="1"/>
    <x v="1"/>
    <m/>
  </r>
  <r>
    <s v="E277"/>
    <s v="Sneha"/>
    <x v="1"/>
    <x v="1"/>
    <x v="26"/>
    <s v="2021-07-21"/>
    <s v="2023-11-10"/>
    <n v="82778"/>
    <x v="0"/>
    <n v="5"/>
    <x v="131"/>
    <s v="Senior"/>
    <x v="2"/>
    <s v="no"/>
    <x v="5"/>
    <x v="1"/>
    <m/>
  </r>
  <r>
    <s v="E278"/>
    <s v="Rohit"/>
    <x v="3"/>
    <x v="0"/>
    <x v="28"/>
    <s v="2021-04-13"/>
    <s v="2022-08-10"/>
    <n v="69936"/>
    <x v="0"/>
    <n v="1"/>
    <x v="132"/>
    <s v="Menior"/>
    <x v="0"/>
    <s v="yes"/>
    <x v="5"/>
    <x v="1"/>
    <m/>
  </r>
  <r>
    <s v="E279"/>
    <s v="Anjali"/>
    <x v="4"/>
    <x v="1"/>
    <x v="0"/>
    <s v="2017-04-03"/>
    <m/>
    <n v="44966"/>
    <x v="1"/>
    <n v="1"/>
    <x v="1"/>
    <s v="Fresher"/>
    <x v="0"/>
    <m/>
    <x v="3"/>
    <x v="1"/>
    <m/>
  </r>
  <r>
    <s v="E280"/>
    <s v="Arjun"/>
    <x v="1"/>
    <x v="0"/>
    <x v="1"/>
    <s v="2017-10-28"/>
    <m/>
    <n v="48685"/>
    <x v="1"/>
    <n v="4"/>
    <x v="1"/>
    <s v="Senior"/>
    <x v="1"/>
    <m/>
    <x v="3"/>
    <x v="1"/>
    <m/>
  </r>
  <r>
    <s v="E281"/>
    <s v="Karan"/>
    <x v="4"/>
    <x v="0"/>
    <x v="16"/>
    <s v="2020-02-12"/>
    <m/>
    <n v="106001"/>
    <x v="1"/>
    <n v="1"/>
    <x v="1"/>
    <s v="Menior"/>
    <x v="0"/>
    <m/>
    <x v="7"/>
    <x v="1"/>
    <m/>
  </r>
  <r>
    <s v="E282"/>
    <s v="Rahul"/>
    <x v="4"/>
    <x v="1"/>
    <x v="20"/>
    <s v="2018-12-06"/>
    <s v="2020-11-23"/>
    <n v="41525"/>
    <x v="0"/>
    <n v="2"/>
    <x v="133"/>
    <s v="Senior"/>
    <x v="0"/>
    <s v="yes"/>
    <x v="1"/>
    <x v="1"/>
    <m/>
  </r>
  <r>
    <s v="E283"/>
    <s v="Arjun"/>
    <x v="3"/>
    <x v="1"/>
    <x v="15"/>
    <s v="2022-08-06"/>
    <s v="2025-09-06"/>
    <n v="46166"/>
    <x v="0"/>
    <n v="2"/>
    <x v="134"/>
    <s v="Senior"/>
    <x v="0"/>
    <s v="no"/>
    <x v="6"/>
    <x v="1"/>
    <m/>
  </r>
  <r>
    <s v="E284"/>
    <s v="Priya"/>
    <x v="1"/>
    <x v="0"/>
    <x v="24"/>
    <s v="2022-11-11"/>
    <m/>
    <n v="104193"/>
    <x v="1"/>
    <n v="5"/>
    <x v="1"/>
    <s v="Menior"/>
    <x v="2"/>
    <m/>
    <x v="6"/>
    <x v="1"/>
    <m/>
  </r>
  <r>
    <s v="E285"/>
    <s v="Sneha"/>
    <x v="0"/>
    <x v="1"/>
    <x v="10"/>
    <s v="2020-11-05"/>
    <m/>
    <n v="98350"/>
    <x v="1"/>
    <n v="4"/>
    <x v="1"/>
    <s v="Menior"/>
    <x v="1"/>
    <m/>
    <x v="7"/>
    <x v="1"/>
    <m/>
  </r>
  <r>
    <s v="E286"/>
    <s v="Sneha"/>
    <x v="2"/>
    <x v="1"/>
    <x v="16"/>
    <s v="2021-11-17"/>
    <s v="2022-03-08"/>
    <n v="63164"/>
    <x v="0"/>
    <n v="5"/>
    <x v="135"/>
    <s v="Menior"/>
    <x v="2"/>
    <s v="yes"/>
    <x v="5"/>
    <x v="1"/>
    <m/>
  </r>
  <r>
    <s v="E287"/>
    <s v="Arjun"/>
    <x v="0"/>
    <x v="0"/>
    <x v="12"/>
    <s v="2019-08-02"/>
    <s v="2020-11-29"/>
    <n v="71819"/>
    <x v="0"/>
    <n v="2"/>
    <x v="136"/>
    <s v="Menior"/>
    <x v="0"/>
    <s v="yes"/>
    <x v="4"/>
    <x v="1"/>
    <m/>
  </r>
  <r>
    <s v="E288"/>
    <s v="Pooja"/>
    <x v="2"/>
    <x v="1"/>
    <x v="23"/>
    <s v="2019-04-01"/>
    <m/>
    <n v="92575"/>
    <x v="1"/>
    <n v="3"/>
    <x v="1"/>
    <s v="Menior"/>
    <x v="1"/>
    <m/>
    <x v="4"/>
    <x v="1"/>
    <m/>
  </r>
  <r>
    <s v="E289"/>
    <s v="Rohit"/>
    <x v="2"/>
    <x v="0"/>
    <x v="9"/>
    <s v="2021-07-24"/>
    <s v="2024-06-04"/>
    <n v="87256"/>
    <x v="0"/>
    <n v="1"/>
    <x v="137"/>
    <s v="Menior"/>
    <x v="0"/>
    <s v="no"/>
    <x v="5"/>
    <x v="1"/>
    <m/>
  </r>
  <r>
    <s v="E290"/>
    <s v="Amit"/>
    <x v="0"/>
    <x v="1"/>
    <x v="2"/>
    <s v="2015-05-27"/>
    <m/>
    <n v="109542"/>
    <x v="1"/>
    <n v="4"/>
    <x v="1"/>
    <s v="Fresher"/>
    <x v="1"/>
    <m/>
    <x v="2"/>
    <x v="1"/>
    <m/>
  </r>
  <r>
    <s v="E291"/>
    <s v="Rahul"/>
    <x v="3"/>
    <x v="1"/>
    <x v="13"/>
    <s v="2017-05-04"/>
    <s v="2017-07-30"/>
    <n v="116779"/>
    <x v="0"/>
    <n v="4"/>
    <x v="138"/>
    <s v="Senior"/>
    <x v="1"/>
    <s v="yes"/>
    <x v="3"/>
    <x v="1"/>
    <m/>
  </r>
  <r>
    <s v="E292"/>
    <s v="Sneha"/>
    <x v="1"/>
    <x v="1"/>
    <x v="19"/>
    <s v="2021-03-05"/>
    <s v="2022-06-09"/>
    <n v="61909"/>
    <x v="0"/>
    <n v="4"/>
    <x v="139"/>
    <s v="Senior"/>
    <x v="1"/>
    <s v="yes"/>
    <x v="5"/>
    <x v="1"/>
    <m/>
  </r>
  <r>
    <s v="E293"/>
    <s v="Karan"/>
    <x v="4"/>
    <x v="1"/>
    <x v="16"/>
    <s v="2017-10-23"/>
    <s v="2018-09-23"/>
    <n v="116527"/>
    <x v="0"/>
    <n v="2"/>
    <x v="12"/>
    <s v="Menior"/>
    <x v="0"/>
    <s v="yes"/>
    <x v="3"/>
    <x v="1"/>
    <m/>
  </r>
  <r>
    <s v="E294"/>
    <s v="Anjali"/>
    <x v="4"/>
    <x v="0"/>
    <x v="7"/>
    <s v="2019-03-20"/>
    <m/>
    <n v="99404"/>
    <x v="1"/>
    <n v="3"/>
    <x v="1"/>
    <s v="Menior"/>
    <x v="1"/>
    <m/>
    <x v="4"/>
    <x v="1"/>
    <m/>
  </r>
  <r>
    <s v="E295"/>
    <s v="Sneha"/>
    <x v="2"/>
    <x v="1"/>
    <x v="9"/>
    <s v="2017-08-23"/>
    <s v="2018-10-01"/>
    <n v="35468"/>
    <x v="0"/>
    <n v="2"/>
    <x v="140"/>
    <s v="Menior"/>
    <x v="0"/>
    <s v="yes"/>
    <x v="3"/>
    <x v="1"/>
    <m/>
  </r>
  <r>
    <s v="E296"/>
    <s v="Arjun"/>
    <x v="0"/>
    <x v="1"/>
    <x v="4"/>
    <s v="2015-05-23"/>
    <s v="2018-02-01"/>
    <n v="50952"/>
    <x v="0"/>
    <n v="5"/>
    <x v="141"/>
    <s v="Fresher"/>
    <x v="2"/>
    <s v="no"/>
    <x v="2"/>
    <x v="1"/>
    <m/>
  </r>
  <r>
    <s v="E297"/>
    <s v="Neha"/>
    <x v="4"/>
    <x v="0"/>
    <x v="7"/>
    <s v="2020-06-03"/>
    <s v="2020-08-13"/>
    <n v="80741"/>
    <x v="0"/>
    <n v="5"/>
    <x v="142"/>
    <s v="Menior"/>
    <x v="2"/>
    <s v="yes"/>
    <x v="7"/>
    <x v="1"/>
    <m/>
  </r>
  <r>
    <s v="E298"/>
    <s v="Amit"/>
    <x v="2"/>
    <x v="1"/>
    <x v="5"/>
    <s v="2020-01-31"/>
    <m/>
    <n v="74080"/>
    <x v="1"/>
    <n v="5"/>
    <x v="1"/>
    <s v="Fresher"/>
    <x v="2"/>
    <m/>
    <x v="7"/>
    <x v="1"/>
    <m/>
  </r>
  <r>
    <s v="E299"/>
    <s v="Sneha"/>
    <x v="3"/>
    <x v="1"/>
    <x v="11"/>
    <s v="2021-03-23"/>
    <m/>
    <n v="46330"/>
    <x v="1"/>
    <n v="2"/>
    <x v="1"/>
    <s v="Senior"/>
    <x v="0"/>
    <m/>
    <x v="5"/>
    <x v="1"/>
    <m/>
  </r>
  <r>
    <s v="E300"/>
    <s v="Rohit"/>
    <x v="3"/>
    <x v="0"/>
    <x v="12"/>
    <s v="2016-11-23"/>
    <s v="2017-05-23"/>
    <n v="93176"/>
    <x v="0"/>
    <n v="4"/>
    <x v="143"/>
    <s v="Menior"/>
    <x v="1"/>
    <s v="yes"/>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24675B-350A-49D7-BB6F-44144B924C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9" firstHeaderRow="1" firstDataRow="1" firstDataCol="1" rowPageCount="1" colPageCount="1"/>
  <pivotFields count="13">
    <pivotField showAll="0"/>
    <pivotField showAll="0"/>
    <pivotField axis="axisRow" showAll="0">
      <items count="6">
        <item x="1"/>
        <item x="2"/>
        <item x="3"/>
        <item x="0"/>
        <item x="4"/>
        <item t="default"/>
      </items>
    </pivotField>
    <pivotField axis="axisPage" dataField="1" multipleItemSelectionAllowed="1"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s>
  <rowFields count="1">
    <field x="2"/>
  </rowFields>
  <rowItems count="6">
    <i>
      <x/>
    </i>
    <i>
      <x v="1"/>
    </i>
    <i>
      <x v="2"/>
    </i>
    <i>
      <x v="3"/>
    </i>
    <i>
      <x v="4"/>
    </i>
    <i t="grand">
      <x/>
    </i>
  </rowItems>
  <colItems count="1">
    <i/>
  </colItems>
  <pageFields count="1">
    <pageField fld="3" hier="-1"/>
  </pageFields>
  <dataFields count="1">
    <dataField name="Count of Gender" fld="3" subtotal="count" baseField="2" baseItem="0"/>
  </dataFields>
  <chartFormats count="4">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 count="1" selected="0">
            <x v="4"/>
          </reference>
        </references>
      </pivotArea>
    </chartFormat>
    <chartFormat chart="28"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8C04D7-8E5F-459C-A1C7-CBB59EE1FB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13">
    <pivotField showAll="0"/>
    <pivotField showAll="0"/>
    <pivotField axis="axisRow" showAll="0">
      <items count="6">
        <item x="1"/>
        <item x="2"/>
        <item x="3"/>
        <item x="0"/>
        <item x="4"/>
        <item t="default"/>
      </items>
    </pivotField>
    <pivotField axis="axisCol" showAll="0">
      <items count="3">
        <item x="1"/>
        <item x="0"/>
        <item t="default"/>
      </items>
    </pivotField>
    <pivotField showAll="0"/>
    <pivotField showAll="0"/>
    <pivotField showAll="0"/>
    <pivotField showAll="0"/>
    <pivotField dataField="1" showAll="0">
      <items count="3">
        <item x="1"/>
        <item x="0"/>
        <item t="default"/>
      </items>
    </pivotField>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Attrition" fld="8"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16190-88A1-4547-AD74-13EBFA8BF4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4" firstHeaderRow="1" firstDataRow="1" firstDataCol="1"/>
  <pivotFields count="13">
    <pivotField showAll="0"/>
    <pivotField showAll="0"/>
    <pivotField axis="axisRow" dataField="1" showAll="0">
      <items count="6">
        <item x="1"/>
        <item x="2"/>
        <item x="3"/>
        <item x="0"/>
        <item x="4"/>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items count="4">
        <item x="2"/>
        <item x="0"/>
        <item x="1"/>
        <item t="default"/>
      </items>
    </pivotField>
  </pivotFields>
  <rowFields count="2">
    <field x="2"/>
    <field x="12"/>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Count of Departm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29F96-81F1-4F55-9C69-B3580DB1E2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rowPageCount="1" colPageCount="1"/>
  <pivotFields count="13">
    <pivotField showAll="0"/>
    <pivotField showAll="0"/>
    <pivotField axis="axisRow" showAll="0">
      <items count="6">
        <item x="1"/>
        <item x="2"/>
        <item x="3"/>
        <item x="0"/>
        <item x="4"/>
        <item t="default"/>
      </items>
    </pivotField>
    <pivotField showAll="0">
      <items count="3">
        <item x="1"/>
        <item x="0"/>
        <item t="default"/>
      </items>
    </pivotField>
    <pivotField showAll="0"/>
    <pivotField showAll="0"/>
    <pivotField showAll="0"/>
    <pivotField dataField="1" showAll="0"/>
    <pivotField axis="axisPage" dataField="1" multipleItemSelectionAllowed="1" showAll="0">
      <items count="3">
        <item x="1"/>
        <item x="0"/>
        <item t="default"/>
      </items>
    </pivotField>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pageFields count="1">
    <pageField fld="8" hier="-1"/>
  </pageFields>
  <dataFields count="2">
    <dataField name="Count of Attrition" fld="8" subtotal="count" baseField="0" baseItem="0"/>
    <dataField name="Sum of Salary" fld="7" baseField="0" baseItem="0"/>
  </dataFields>
  <chartFormats count="3">
    <chartFormat chart="0" format="0" series="1">
      <pivotArea type="data" outline="0" fieldPosition="0">
        <references count="1">
          <reference field="4294967294" count="1" selected="0">
            <x v="1"/>
          </reference>
        </references>
      </pivotArea>
    </chartFormat>
    <chartFormat chart="0" format="1">
      <pivotArea type="data" outline="0" fieldPosition="0">
        <references count="2">
          <reference field="4294967294" count="1" selected="0">
            <x v="1"/>
          </reference>
          <reference field="2" count="1" selected="0">
            <x v="3"/>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DEC0E-15D4-41E2-852D-2D8D080DA65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11" firstHeaderRow="1" firstDataRow="2" firstDataCol="1" rowPageCount="1" colPageCount="1"/>
  <pivotFields count="13">
    <pivotField showAll="0"/>
    <pivotField showAll="0"/>
    <pivotField axis="axisPage" multipleItemSelectionAllowed="1" showAll="0">
      <items count="6">
        <item x="1"/>
        <item x="2"/>
        <item x="3"/>
        <item x="0"/>
        <item x="4"/>
        <item t="default"/>
      </items>
    </pivotField>
    <pivotField axis="axisCol" showAll="0">
      <items count="3">
        <item x="1"/>
        <item x="0"/>
        <item t="default"/>
      </items>
    </pivotField>
    <pivotField axis="axisRow" showAll="0">
      <items count="9">
        <item x="0"/>
        <item x="1"/>
        <item x="2"/>
        <item x="3"/>
        <item x="4"/>
        <item x="5"/>
        <item x="6"/>
        <item x="7"/>
        <item t="default"/>
      </items>
    </pivotField>
    <pivotField showAll="0"/>
    <pivotField showAll="0"/>
    <pivotField showAll="0"/>
    <pivotField dataField="1" showAll="0">
      <items count="3">
        <item x="1"/>
        <item x="0"/>
        <item t="default"/>
      </items>
    </pivotField>
    <pivotField showAll="0"/>
    <pivotField showAll="0"/>
    <pivotField showAll="0"/>
    <pivotField showAll="0"/>
  </pivotFields>
  <rowFields count="1">
    <field x="4"/>
  </rowFields>
  <rowItems count="7">
    <i>
      <x v="1"/>
    </i>
    <i>
      <x v="2"/>
    </i>
    <i>
      <x v="3"/>
    </i>
    <i>
      <x v="4"/>
    </i>
    <i>
      <x v="5"/>
    </i>
    <i>
      <x v="6"/>
    </i>
    <i t="grand">
      <x/>
    </i>
  </rowItems>
  <colFields count="1">
    <field x="3"/>
  </colFields>
  <colItems count="3">
    <i>
      <x/>
    </i>
    <i>
      <x v="1"/>
    </i>
    <i t="grand">
      <x/>
    </i>
  </colItems>
  <pageFields count="1">
    <pageField fld="2" hier="-1"/>
  </pageFields>
  <dataFields count="1">
    <dataField name="Count of Attrition" fld="8" subtotal="count" baseField="0" baseItem="0"/>
  </dataFields>
  <chartFormats count="2">
    <chartFormat chart="21" format="0" series="1">
      <pivotArea type="data" outline="0" fieldPosition="0">
        <references count="2">
          <reference field="4294967294" count="1" selected="0">
            <x v="0"/>
          </reference>
          <reference field="3" count="1" selected="0">
            <x v="0"/>
          </reference>
        </references>
      </pivotArea>
    </chartFormat>
    <chartFormat chart="21"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B9E501-1216-466D-B762-13EF0799E1E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3" firstHeaderRow="1" firstDataRow="1" firstDataCol="1" rowPageCount="1" colPageCount="1"/>
  <pivotFields count="14">
    <pivotField dataField="1" showAll="0"/>
    <pivotField showAll="0"/>
    <pivotField showAll="0">
      <items count="6">
        <item x="1"/>
        <item x="2"/>
        <item x="3"/>
        <item x="0"/>
        <item x="4"/>
        <item t="default"/>
      </items>
    </pivotField>
    <pivotField axis="axisPage" multipleItemSelectionAllowed="1" showAll="0">
      <items count="3">
        <item x="1"/>
        <item x="0"/>
        <item t="default"/>
      </items>
    </pivotField>
    <pivotField showAll="0"/>
    <pivotField showAll="0"/>
    <pivotField showAll="0"/>
    <pivotField showAll="0"/>
    <pivotField showAll="0">
      <items count="3">
        <item x="1"/>
        <item h="1" x="0"/>
        <item t="default"/>
      </items>
    </pivotField>
    <pivotField showAll="0"/>
    <pivotField showAll="0"/>
    <pivotField showAll="0"/>
    <pivotField showAll="0"/>
    <pivotField axis="axisRow" showAll="0">
      <items count="10">
        <item x="2"/>
        <item x="0"/>
        <item x="3"/>
        <item x="1"/>
        <item x="4"/>
        <item x="7"/>
        <item x="5"/>
        <item x="6"/>
        <item x="8"/>
        <item t="default"/>
      </items>
    </pivotField>
  </pivotFields>
  <rowFields count="1">
    <field x="13"/>
  </rowFields>
  <rowItems count="10">
    <i>
      <x/>
    </i>
    <i>
      <x v="1"/>
    </i>
    <i>
      <x v="2"/>
    </i>
    <i>
      <x v="3"/>
    </i>
    <i>
      <x v="4"/>
    </i>
    <i>
      <x v="5"/>
    </i>
    <i>
      <x v="6"/>
    </i>
    <i>
      <x v="7"/>
    </i>
    <i>
      <x v="8"/>
    </i>
    <i t="grand">
      <x/>
    </i>
  </rowItems>
  <colItems count="1">
    <i/>
  </colItems>
  <pageFields count="1">
    <pageField fld="3" hier="-1"/>
  </pageFields>
  <dataFields count="1">
    <dataField name="Count of Employee_ID" fld="0" subtotal="count" baseField="13" baseItem="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8"/>
          </reference>
        </references>
      </pivotArea>
    </chartFormat>
    <chartFormat chart="0" format="4">
      <pivotArea type="data" outline="0" fieldPosition="0">
        <references count="2">
          <reference field="4294967294" count="1" selected="0">
            <x v="0"/>
          </reference>
          <reference field="13" count="1" selected="0">
            <x v="7"/>
          </reference>
        </references>
      </pivotArea>
    </chartFormat>
    <chartFormat chart="0" format="5">
      <pivotArea type="data" outline="0" fieldPosition="0">
        <references count="2">
          <reference field="4294967294" count="1" selected="0">
            <x v="0"/>
          </reference>
          <reference field="13" count="1" selected="0">
            <x v="6"/>
          </reference>
        </references>
      </pivotArea>
    </chartFormat>
    <chartFormat chart="0" format="6">
      <pivotArea type="data" outline="0" fieldPosition="0">
        <references count="2">
          <reference field="4294967294" count="1" selected="0">
            <x v="0"/>
          </reference>
          <reference field="13" count="1" selected="0">
            <x v="5"/>
          </reference>
        </references>
      </pivotArea>
    </chartFormat>
    <chartFormat chart="0" format="7">
      <pivotArea type="data" outline="0" fieldPosition="0">
        <references count="2">
          <reference field="4294967294" count="1" selected="0">
            <x v="0"/>
          </reference>
          <reference field="13" count="1" selected="0">
            <x v="4"/>
          </reference>
        </references>
      </pivotArea>
    </chartFormat>
    <chartFormat chart="0" format="8">
      <pivotArea type="data" outline="0" fieldPosition="0">
        <references count="2">
          <reference field="4294967294" count="1" selected="0">
            <x v="0"/>
          </reference>
          <reference field="13" count="1" selected="0">
            <x v="3"/>
          </reference>
        </references>
      </pivotArea>
    </chartFormat>
    <chartFormat chart="0" format="9">
      <pivotArea type="data" outline="0" fieldPosition="0">
        <references count="2">
          <reference field="4294967294" count="1" selected="0">
            <x v="0"/>
          </reference>
          <reference field="13" count="1" selected="0">
            <x v="2"/>
          </reference>
        </references>
      </pivotArea>
    </chartFormat>
    <chartFormat chart="0" format="10" series="1">
      <pivotArea type="data" outline="0" fieldPosition="0">
        <references count="2">
          <reference field="4294967294" count="1" selected="0">
            <x v="0"/>
          </reference>
          <reference field="3" count="1" selected="0">
            <x v="1"/>
          </reference>
        </references>
      </pivotArea>
    </chartFormat>
    <chartFormat chart="13"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EB5E84-DAD1-4078-8C35-B23C176E691E}"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B5" firstHeaderRow="1" firstDataRow="1" firstDataCol="1"/>
  <pivotFields count="14">
    <pivotField dataField="1" showAll="0"/>
    <pivotField showAll="0"/>
    <pivotField showAll="0">
      <items count="6">
        <item h="1" x="1"/>
        <item h="1" x="2"/>
        <item x="3"/>
        <item h="1" x="0"/>
        <item h="1" x="4"/>
        <item t="default"/>
      </items>
    </pivotField>
    <pivotField showAll="0">
      <items count="3">
        <item x="1"/>
        <item h="1"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axis="axisRow" showAll="0">
      <items count="4">
        <item x="2"/>
        <item x="0"/>
        <item n="blank" h="1" x="1"/>
        <item t="default"/>
      </items>
    </pivotField>
  </pivotFields>
  <rowFields count="1">
    <field x="13"/>
  </rowFields>
  <rowItems count="2">
    <i>
      <x/>
    </i>
    <i>
      <x v="1"/>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6247A5-E30B-448F-A230-AEC3F8F92B9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6:B72" firstHeaderRow="1" firstDataRow="1" firstDataCol="1"/>
  <pivotFields count="17">
    <pivotField showAll="0"/>
    <pivotField showAll="0"/>
    <pivotField axis="axisRow" showAll="0">
      <items count="6">
        <item x="1"/>
        <item x="2"/>
        <item x="3"/>
        <item x="0"/>
        <item x="4"/>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Salary" fld="7" subtotal="average" baseField="0" baseItem="0"/>
  </dataFields>
  <formats count="3">
    <format dxfId="23">
      <pivotArea collapsedLevelsAreSubtotals="1" fieldPosition="0">
        <references count="1">
          <reference field="2" count="1">
            <x v="2"/>
          </reference>
        </references>
      </pivotArea>
    </format>
    <format dxfId="22">
      <pivotArea collapsedLevelsAreSubtotals="1" fieldPosition="0">
        <references count="1">
          <reference field="2" count="1">
            <x v="3"/>
          </reference>
        </references>
      </pivotArea>
    </format>
    <format dxfId="21">
      <pivotArea collapsedLevelsAreSubtotals="1" fieldPosition="0">
        <references count="1">
          <reference field="2" count="1">
            <x v="4"/>
          </reference>
        </references>
      </pivotArea>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D791BA-44E8-442F-91B1-3545D1F60E9C}"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FBDBBE-C48E-43B1-BF33-A741F1C16A62}"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7">
    <pivotField dataField="1" showAll="0"/>
    <pivotField showAll="0"/>
    <pivotField showAll="0">
      <items count="6">
        <item x="1"/>
        <item x="2"/>
        <item x="3"/>
        <item x="0"/>
        <item x="4"/>
        <item t="default"/>
      </items>
    </pivotField>
    <pivotField showAll="0">
      <items count="3">
        <item x="1"/>
        <item x="0"/>
        <item t="default"/>
      </items>
    </pivotField>
    <pivotField showAll="0"/>
    <pivotField showAll="0"/>
    <pivotField showAll="0"/>
    <pivotField showAll="0"/>
    <pivotField showAll="0">
      <items count="3">
        <item h="1" x="1"/>
        <item x="0"/>
        <item t="default"/>
      </items>
    </pivotField>
    <pivotField showAll="0"/>
    <pivotField showAll="0"/>
    <pivotField showAll="0"/>
    <pivotField showAll="0"/>
    <pivotField showAll="0"/>
    <pivotField axis="axisRow" showAll="0">
      <items count="10">
        <item x="2"/>
        <item x="0"/>
        <item x="3"/>
        <item x="1"/>
        <item x="4"/>
        <item x="7"/>
        <item x="5"/>
        <item x="6"/>
        <item x="8"/>
        <item t="default"/>
      </items>
    </pivotField>
    <pivotField showAll="0"/>
    <pivotField showAll="0"/>
  </pivotFields>
  <rowFields count="1">
    <field x="14"/>
  </rowFields>
  <rowItems count="10">
    <i>
      <x/>
    </i>
    <i>
      <x v="1"/>
    </i>
    <i>
      <x v="2"/>
    </i>
    <i>
      <x v="3"/>
    </i>
    <i>
      <x v="4"/>
    </i>
    <i>
      <x v="5"/>
    </i>
    <i>
      <x v="6"/>
    </i>
    <i>
      <x v="7"/>
    </i>
    <i>
      <x v="8"/>
    </i>
    <i t="grand">
      <x/>
    </i>
  </rowItems>
  <colItems count="1">
    <i/>
  </colItems>
  <dataFields count="1">
    <dataField name="Count of Employee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BF1309-811D-4FDF-ADA4-F4B38940285E}"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M10" firstHeaderRow="1" firstDataRow="2" firstDataCol="1"/>
  <pivotFields count="17">
    <pivotField showAll="0"/>
    <pivotField showAll="0"/>
    <pivotField axis="axisRow" showAll="0">
      <items count="6">
        <item x="1"/>
        <item x="2"/>
        <item x="3"/>
        <item x="0"/>
        <item x="4"/>
        <item t="default"/>
      </items>
    </pivotField>
    <pivotField axis="axisCol" showAll="0">
      <items count="3">
        <item x="1"/>
        <item x="0"/>
        <item t="default"/>
      </items>
    </pivotField>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Attrition" fld="8"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9CE987-DF57-4DD6-96E7-88FCB921831E}"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H5" firstHeaderRow="1" firstDataRow="1" firstDataCol="1"/>
  <pivotFields count="17">
    <pivotField showAll="0"/>
    <pivotField showAll="0"/>
    <pivotField showAll="0">
      <items count="6">
        <item x="1"/>
        <item x="2"/>
        <item x="3"/>
        <item x="0"/>
        <item x="4"/>
        <item t="default"/>
      </items>
    </pivotField>
    <pivotField axis="axisRow" dataField="1"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Gender"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B8E1BE-0D49-4937-B715-3AE31E6F3A83}"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5:O46" firstHeaderRow="1" firstDataRow="1" firstDataCol="0"/>
  <pivotFields count="1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Performance_Rating" fld="9" subtotal="average"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195F42-9DFD-4E0D-874D-67A62AB5F7E7}"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5:I47"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h="1" x="1"/>
        <item t="default"/>
      </items>
    </pivotField>
    <pivotField showAll="0"/>
  </pivotFields>
  <rowFields count="1">
    <field x="15"/>
  </rowFields>
  <rowItems count="2">
    <i>
      <x/>
    </i>
    <i t="grand">
      <x/>
    </i>
  </rowItems>
  <colItems count="1">
    <i/>
  </colItems>
  <formats count="1">
    <format dxfId="25">
      <pivotArea dataOnly="0" labelOnly="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4C8DAD-6933-484F-904D-91FD1B8833FF}"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5:K46" firstHeaderRow="1" firstDataRow="1" firstDataCol="0"/>
  <pivotFields count="17">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Experience" fld="10" subtotal="average" baseField="0" baseItem="0" numFmtId="2"/>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E7BF81-8449-402A-9069-AD9371BCEC35}" name="PivotTable2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D60" firstHeaderRow="1" firstDataRow="2" firstDataCol="1"/>
  <pivotFields count="17">
    <pivotField showAll="0"/>
    <pivotField showAll="0"/>
    <pivotField showAll="0">
      <items count="6">
        <item x="1"/>
        <item x="2"/>
        <item x="3"/>
        <item x="0"/>
        <item x="4"/>
        <item t="default"/>
      </items>
    </pivotField>
    <pivotField axis="axisCol" showAll="0">
      <items count="3">
        <item x="1"/>
        <item x="0"/>
        <item t="default"/>
      </items>
    </pivotField>
    <pivotField axis="axisRow" showAll="0">
      <items count="9">
        <item x="0"/>
        <item x="1"/>
        <item x="2"/>
        <item x="3"/>
        <item x="4"/>
        <item x="5"/>
        <item x="6"/>
        <item x="7"/>
        <item t="default"/>
      </items>
    </pivotField>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s>
  <rowFields count="1">
    <field x="4"/>
  </rowFields>
  <rowItems count="7">
    <i>
      <x v="1"/>
    </i>
    <i>
      <x v="2"/>
    </i>
    <i>
      <x v="3"/>
    </i>
    <i>
      <x v="4"/>
    </i>
    <i>
      <x v="5"/>
    </i>
    <i>
      <x v="6"/>
    </i>
    <i t="grand">
      <x/>
    </i>
  </rowItems>
  <colFields count="1">
    <field x="3"/>
  </colFields>
  <colItems count="3">
    <i>
      <x/>
    </i>
    <i>
      <x v="1"/>
    </i>
    <i t="grand">
      <x/>
    </i>
  </colItems>
  <dataFields count="1">
    <dataField name="Count of Attrition" fld="8" subtotal="count" baseField="0" baseItem="0"/>
  </dataField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295F636-F118-4D26-A6F6-1A3E6219EC7B}"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M46" firstHeaderRow="1" firstDataRow="1" firstDataCol="0"/>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lary" fld="7" subtotal="average"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539D9EA-9D61-4AF9-A4DD-9B0E0C403687}" name="PivotTable2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D3:E9" firstHeaderRow="1" firstDataRow="1" firstDataCol="1"/>
  <pivotFields count="17">
    <pivotField dataField="1" showAll="0"/>
    <pivotField showAll="0"/>
    <pivotField axis="axisRow" showAll="0">
      <items count="6">
        <item x="1"/>
        <item x="2"/>
        <item x="3"/>
        <item x="0"/>
        <item x="4"/>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loyee_ID" fld="0" subtotal="count" baseField="0" baseItem="0"/>
  </dataFields>
  <chartFormats count="11">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 chart="10" format="4">
      <pivotArea type="data" outline="0" fieldPosition="0">
        <references count="2">
          <reference field="4294967294" count="1" selected="0">
            <x v="0"/>
          </reference>
          <reference field="2" count="1" selected="0">
            <x v="1"/>
          </reference>
        </references>
      </pivotArea>
    </chartFormat>
    <chartFormat chart="10" format="5">
      <pivotArea type="data" outline="0" fieldPosition="0">
        <references count="2">
          <reference field="4294967294" count="1" selected="0">
            <x v="0"/>
          </reference>
          <reference field="2" count="1" selected="0">
            <x v="2"/>
          </reference>
        </references>
      </pivotArea>
    </chartFormat>
    <chartFormat chart="10" format="6">
      <pivotArea type="data" outline="0" fieldPosition="0">
        <references count="2">
          <reference field="4294967294" count="1" selected="0">
            <x v="0"/>
          </reference>
          <reference field="2" count="1" selected="0">
            <x v="3"/>
          </reference>
        </references>
      </pivotArea>
    </chartFormat>
    <chartFormat chart="10" format="7">
      <pivotArea type="data" outline="0" fieldPosition="0">
        <references count="2">
          <reference field="4294967294" count="1" selected="0">
            <x v="0"/>
          </reference>
          <reference field="2" count="1" selected="0">
            <x v="4"/>
          </reference>
        </references>
      </pivotArea>
    </chartFormat>
    <chartFormat chart="21"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9A431B-CA8A-4907-9A0D-EE0F657E2F12}"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5:G47" firstHeaderRow="1" firstDataRow="1" firstDataCol="1"/>
  <pivotFields count="17">
    <pivotField dataField="1"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Exit Employee" fld="0" subtotal="count"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9BA44BD-5E2E-4CC7-BF3B-203105CB768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3:G60" firstHeaderRow="1" firstDataRow="1" firstDataCol="1"/>
  <pivotFields count="17">
    <pivotField dataField="1" showAll="0"/>
    <pivotField showAll="0"/>
    <pivotField showAll="0">
      <items count="6">
        <item x="1"/>
        <item x="2"/>
        <item x="3"/>
        <item x="0"/>
        <item x="4"/>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Count of Employee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5DF7C3F-645D-43FB-80E2-F1FC6DD40468}"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5:D47" firstHeaderRow="1" firstDataRow="1" firstDataCol="1"/>
  <pivotFields count="17">
    <pivotField dataField="1" showAll="0"/>
    <pivotField showAll="0"/>
    <pivotField showAll="0"/>
    <pivotField showAll="0"/>
    <pivotField showAll="0"/>
    <pivotField showAll="0"/>
    <pivotField showAll="0"/>
    <pivotField showAll="0"/>
    <pivotField axis="axisRow" showAll="0">
      <items count="3">
        <item x="1"/>
        <item h="1" x="0"/>
        <item t="default"/>
      </items>
    </pivotField>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Active Employee"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46A6C4-A507-4050-8786-D449A7FDFE3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53:J57" firstHeaderRow="1" firstDataRow="1" firstDataCol="1"/>
  <pivotFields count="17">
    <pivotField dataField="1" showAll="0"/>
    <pivotField showAll="0"/>
    <pivotField showAll="0">
      <items count="6">
        <item x="1"/>
        <item x="2"/>
        <item x="3"/>
        <item x="0"/>
        <item x="4"/>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90DAEC-D10A-43B4-A1B0-380BCABD0B62}" sourceName="Department">
  <pivotTables>
    <pivotTable tabId="10" name="PivotTable25"/>
    <pivotTable tabId="10" name="PivotTable1"/>
    <pivotTable tabId="10" name="PivotTable2"/>
    <pivotTable tabId="10" name="PivotTable20"/>
    <pivotTable tabId="10" name="PivotTable21"/>
    <pivotTable tabId="10" name="PivotTable22"/>
    <pivotTable tabId="10" name="PivotTable23"/>
    <pivotTable tabId="10" name="PivotTable3"/>
  </pivotTables>
  <data>
    <tabular pivotCacheId="1112782444">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F50F2D-E540-414C-B597-5F4E8ACBF8D2}" sourceName="Gender">
  <pivotTables>
    <pivotTable tabId="10" name="PivotTable25"/>
    <pivotTable tabId="10" name="PivotTable1"/>
    <pivotTable tabId="10" name="PivotTable2"/>
    <pivotTable tabId="10" name="PivotTable20"/>
    <pivotTable tabId="10" name="PivotTable21"/>
    <pivotTable tabId="10" name="PivotTable22"/>
    <pivotTable tabId="10" name="PivotTable23"/>
    <pivotTable tabId="10" name="PivotTable3"/>
  </pivotTables>
  <data>
    <tabular pivotCacheId="11127824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5DB3858-0444-46C1-A08C-9EEEE485A522}" sourceName="Attrition">
  <pivotTables>
    <pivotTable tabId="10" name="PivotTable25"/>
    <pivotTable tabId="10" name="PivotTable1"/>
    <pivotTable tabId="10" name="PivotTable2"/>
    <pivotTable tabId="10" name="PivotTable21"/>
    <pivotTable tabId="10" name="PivotTable22"/>
    <pivotTable tabId="10" name="PivotTable23"/>
    <pivotTable tabId="10" name="PivotTable3"/>
  </pivotTables>
  <data>
    <tabular pivotCacheId="11127824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A41278B-A329-45E8-929F-6ABAD6353D02}" cache="Slicer_Department" caption="Department" style="SlicerStyleDark5" rowHeight="241300"/>
  <slicer name="Gender" xr10:uid="{0F1AC5C2-B15C-49A9-AA2F-37AC5A3EEA61}" cache="Slicer_Gender" caption="Gender" style="SlicerStyleDark5" rowHeight="241300"/>
  <slicer name="Attrition" xr10:uid="{F8892F6E-C06B-4EB2-8419-9AE60BBCE129}" cache="Slicer_Attrition" caption="Attrition"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5" Type="http://schemas.openxmlformats.org/officeDocument/2006/relationships/pivotTable" Target="../pivotTables/pivotTable2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pivotTable" Target="../pivotTables/pivotTable2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A863-A0AC-4055-A6CF-7FF06D3E04D5}">
  <dimension ref="A1:B9"/>
  <sheetViews>
    <sheetView workbookViewId="0">
      <selection activeCell="B4" sqref="B4"/>
    </sheetView>
  </sheetViews>
  <sheetFormatPr defaultRowHeight="15" x14ac:dyDescent="0.25"/>
  <cols>
    <col min="1" max="1" width="13.140625" bestFit="1" customWidth="1"/>
    <col min="2" max="2" width="15.85546875" bestFit="1" customWidth="1"/>
    <col min="3" max="3" width="5.5703125" bestFit="1" customWidth="1"/>
    <col min="4" max="4" width="11.28515625" bestFit="1" customWidth="1"/>
    <col min="5" max="229" width="6" bestFit="1" customWidth="1"/>
    <col min="230" max="300" width="7" bestFit="1" customWidth="1"/>
    <col min="301" max="301" width="11.28515625" bestFit="1" customWidth="1"/>
  </cols>
  <sheetData>
    <row r="1" spans="1:2" x14ac:dyDescent="0.25">
      <c r="A1" s="1" t="s">
        <v>3</v>
      </c>
      <c r="B1" t="s">
        <v>757</v>
      </c>
    </row>
    <row r="3" spans="1:2" x14ac:dyDescent="0.25">
      <c r="A3" s="1" t="s">
        <v>748</v>
      </c>
      <c r="B3" t="s">
        <v>754</v>
      </c>
    </row>
    <row r="4" spans="1:2" x14ac:dyDescent="0.25">
      <c r="A4" s="2" t="s">
        <v>19</v>
      </c>
      <c r="B4">
        <v>56</v>
      </c>
    </row>
    <row r="5" spans="1:2" x14ac:dyDescent="0.25">
      <c r="A5" s="2" t="s">
        <v>24</v>
      </c>
      <c r="B5">
        <v>68</v>
      </c>
    </row>
    <row r="6" spans="1:2" x14ac:dyDescent="0.25">
      <c r="A6" s="2" t="s">
        <v>27</v>
      </c>
      <c r="B6">
        <v>57</v>
      </c>
    </row>
    <row r="7" spans="1:2" x14ac:dyDescent="0.25">
      <c r="A7" s="2" t="s">
        <v>12</v>
      </c>
      <c r="B7">
        <v>57</v>
      </c>
    </row>
    <row r="8" spans="1:2" x14ac:dyDescent="0.25">
      <c r="A8" s="2" t="s">
        <v>34</v>
      </c>
      <c r="B8">
        <v>62</v>
      </c>
    </row>
    <row r="9" spans="1:2" x14ac:dyDescent="0.25">
      <c r="A9" s="2" t="s">
        <v>749</v>
      </c>
      <c r="B9">
        <v>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52CF-EF33-4368-B4CC-CD257EBAFB5F}">
  <dimension ref="A3:D10"/>
  <sheetViews>
    <sheetView zoomScale="108" workbookViewId="0">
      <selection activeCell="D7" sqref="D7"/>
    </sheetView>
  </sheetViews>
  <sheetFormatPr defaultRowHeight="15" x14ac:dyDescent="0.25"/>
  <cols>
    <col min="1" max="1" width="17.28515625" bestFit="1" customWidth="1"/>
    <col min="2" max="2" width="16.28515625" bestFit="1" customWidth="1"/>
    <col min="3" max="3" width="5.5703125" bestFit="1" customWidth="1"/>
    <col min="4" max="4" width="11.7109375" bestFit="1" customWidth="1"/>
  </cols>
  <sheetData>
    <row r="3" spans="1:4" x14ac:dyDescent="0.25">
      <c r="A3" s="1" t="s">
        <v>755</v>
      </c>
      <c r="B3" s="1" t="s">
        <v>750</v>
      </c>
    </row>
    <row r="4" spans="1:4" x14ac:dyDescent="0.25">
      <c r="A4" s="1" t="s">
        <v>748</v>
      </c>
      <c r="B4" t="s">
        <v>20</v>
      </c>
      <c r="C4" t="s">
        <v>13</v>
      </c>
      <c r="D4" t="s">
        <v>749</v>
      </c>
    </row>
    <row r="5" spans="1:4" x14ac:dyDescent="0.25">
      <c r="A5" s="2" t="s">
        <v>19</v>
      </c>
      <c r="B5">
        <v>35</v>
      </c>
      <c r="C5">
        <v>21</v>
      </c>
      <c r="D5">
        <v>56</v>
      </c>
    </row>
    <row r="6" spans="1:4" x14ac:dyDescent="0.25">
      <c r="A6" s="2" t="s">
        <v>24</v>
      </c>
      <c r="B6">
        <v>40</v>
      </c>
      <c r="C6">
        <v>28</v>
      </c>
      <c r="D6">
        <v>68</v>
      </c>
    </row>
    <row r="7" spans="1:4" x14ac:dyDescent="0.25">
      <c r="A7" s="2" t="s">
        <v>27</v>
      </c>
      <c r="B7">
        <v>28</v>
      </c>
      <c r="C7">
        <v>29</v>
      </c>
      <c r="D7">
        <v>57</v>
      </c>
    </row>
    <row r="8" spans="1:4" x14ac:dyDescent="0.25">
      <c r="A8" s="2" t="s">
        <v>12</v>
      </c>
      <c r="B8">
        <v>31</v>
      </c>
      <c r="C8">
        <v>26</v>
      </c>
      <c r="D8">
        <v>57</v>
      </c>
    </row>
    <row r="9" spans="1:4" x14ac:dyDescent="0.25">
      <c r="A9" s="2" t="s">
        <v>34</v>
      </c>
      <c r="B9">
        <v>34</v>
      </c>
      <c r="C9">
        <v>28</v>
      </c>
      <c r="D9">
        <v>62</v>
      </c>
    </row>
    <row r="10" spans="1:4" x14ac:dyDescent="0.25">
      <c r="A10" s="2" t="s">
        <v>749</v>
      </c>
      <c r="B10">
        <v>168</v>
      </c>
      <c r="C10">
        <v>132</v>
      </c>
      <c r="D10">
        <v>300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7D07F-4011-4C5E-B06B-A76584F79A71}">
  <dimension ref="A3:N24"/>
  <sheetViews>
    <sheetView topLeftCell="A3" zoomScale="90" workbookViewId="0">
      <selection activeCell="N22" sqref="N22"/>
    </sheetView>
  </sheetViews>
  <sheetFormatPr defaultRowHeight="15" x14ac:dyDescent="0.25"/>
  <cols>
    <col min="1" max="1" width="17.85546875" bestFit="1" customWidth="1"/>
    <col min="2" max="2" width="20.140625" bestFit="1" customWidth="1"/>
    <col min="3" max="3" width="3.42578125" bestFit="1" customWidth="1"/>
    <col min="4" max="4" width="3" bestFit="1" customWidth="1"/>
    <col min="5" max="5" width="10.140625" bestFit="1" customWidth="1"/>
    <col min="6" max="6" width="5.5703125" bestFit="1" customWidth="1"/>
    <col min="7" max="7" width="11.28515625" bestFit="1" customWidth="1"/>
  </cols>
  <sheetData>
    <row r="3" spans="1:2" x14ac:dyDescent="0.25">
      <c r="A3" s="1" t="s">
        <v>748</v>
      </c>
      <c r="B3" t="s">
        <v>761</v>
      </c>
    </row>
    <row r="4" spans="1:2" x14ac:dyDescent="0.25">
      <c r="A4" s="2" t="s">
        <v>19</v>
      </c>
      <c r="B4">
        <v>56</v>
      </c>
    </row>
    <row r="5" spans="1:2" x14ac:dyDescent="0.25">
      <c r="A5" s="3" t="s">
        <v>758</v>
      </c>
      <c r="B5">
        <v>18</v>
      </c>
    </row>
    <row r="6" spans="1:2" x14ac:dyDescent="0.25">
      <c r="A6" s="3" t="s">
        <v>759</v>
      </c>
      <c r="B6">
        <v>22</v>
      </c>
    </row>
    <row r="7" spans="1:2" x14ac:dyDescent="0.25">
      <c r="A7" s="3" t="s">
        <v>760</v>
      </c>
      <c r="B7">
        <v>16</v>
      </c>
    </row>
    <row r="8" spans="1:2" x14ac:dyDescent="0.25">
      <c r="A8" s="2" t="s">
        <v>24</v>
      </c>
      <c r="B8">
        <v>68</v>
      </c>
    </row>
    <row r="9" spans="1:2" x14ac:dyDescent="0.25">
      <c r="A9" s="3" t="s">
        <v>758</v>
      </c>
      <c r="B9">
        <v>13</v>
      </c>
    </row>
    <row r="10" spans="1:2" x14ac:dyDescent="0.25">
      <c r="A10" s="3" t="s">
        <v>759</v>
      </c>
      <c r="B10">
        <v>28</v>
      </c>
    </row>
    <row r="11" spans="1:2" x14ac:dyDescent="0.25">
      <c r="A11" s="3" t="s">
        <v>760</v>
      </c>
      <c r="B11">
        <v>27</v>
      </c>
    </row>
    <row r="12" spans="1:2" x14ac:dyDescent="0.25">
      <c r="A12" s="2" t="s">
        <v>27</v>
      </c>
      <c r="B12">
        <v>57</v>
      </c>
    </row>
    <row r="13" spans="1:2" x14ac:dyDescent="0.25">
      <c r="A13" s="3" t="s">
        <v>758</v>
      </c>
      <c r="B13">
        <v>8</v>
      </c>
    </row>
    <row r="14" spans="1:2" x14ac:dyDescent="0.25">
      <c r="A14" s="3" t="s">
        <v>759</v>
      </c>
      <c r="B14">
        <v>28</v>
      </c>
    </row>
    <row r="15" spans="1:2" x14ac:dyDescent="0.25">
      <c r="A15" s="3" t="s">
        <v>760</v>
      </c>
      <c r="B15">
        <v>21</v>
      </c>
    </row>
    <row r="16" spans="1:2" x14ac:dyDescent="0.25">
      <c r="A16" s="2" t="s">
        <v>12</v>
      </c>
      <c r="B16">
        <v>57</v>
      </c>
    </row>
    <row r="17" spans="1:14" x14ac:dyDescent="0.25">
      <c r="A17" s="3" t="s">
        <v>758</v>
      </c>
      <c r="B17">
        <v>9</v>
      </c>
    </row>
    <row r="18" spans="1:14" x14ac:dyDescent="0.25">
      <c r="A18" s="3" t="s">
        <v>759</v>
      </c>
      <c r="B18">
        <v>24</v>
      </c>
    </row>
    <row r="19" spans="1:14" x14ac:dyDescent="0.25">
      <c r="A19" s="3" t="s">
        <v>760</v>
      </c>
      <c r="B19">
        <v>24</v>
      </c>
    </row>
    <row r="20" spans="1:14" x14ac:dyDescent="0.25">
      <c r="A20" s="2" t="s">
        <v>34</v>
      </c>
      <c r="B20">
        <v>62</v>
      </c>
    </row>
    <row r="21" spans="1:14" x14ac:dyDescent="0.25">
      <c r="A21" s="3" t="s">
        <v>758</v>
      </c>
      <c r="B21">
        <v>10</v>
      </c>
    </row>
    <row r="22" spans="1:14" x14ac:dyDescent="0.25">
      <c r="A22" s="3" t="s">
        <v>759</v>
      </c>
      <c r="B22">
        <v>29</v>
      </c>
      <c r="N22" t="s">
        <v>762</v>
      </c>
    </row>
    <row r="23" spans="1:14" x14ac:dyDescent="0.25">
      <c r="A23" s="3" t="s">
        <v>760</v>
      </c>
      <c r="B23">
        <v>23</v>
      </c>
    </row>
    <row r="24" spans="1:14" x14ac:dyDescent="0.25">
      <c r="A24" s="2" t="s">
        <v>749</v>
      </c>
      <c r="B24">
        <v>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DE75-509D-4AB4-BE37-D3D17255961B}">
  <dimension ref="A1:C9"/>
  <sheetViews>
    <sheetView workbookViewId="0">
      <selection activeCell="Q10" sqref="Q10"/>
    </sheetView>
  </sheetViews>
  <sheetFormatPr defaultRowHeight="15" x14ac:dyDescent="0.25"/>
  <cols>
    <col min="1" max="1" width="13.140625" bestFit="1" customWidth="1"/>
    <col min="2" max="2" width="16.7109375" bestFit="1" customWidth="1"/>
    <col min="3" max="3" width="12.85546875" bestFit="1" customWidth="1"/>
    <col min="4" max="4" width="8" bestFit="1" customWidth="1"/>
    <col min="5" max="5" width="10.140625" bestFit="1" customWidth="1"/>
    <col min="6" max="6" width="8" bestFit="1" customWidth="1"/>
    <col min="7" max="7" width="11.28515625" bestFit="1" customWidth="1"/>
  </cols>
  <sheetData>
    <row r="1" spans="1:3" x14ac:dyDescent="0.25">
      <c r="A1" s="1" t="s">
        <v>8</v>
      </c>
      <c r="B1" t="s">
        <v>757</v>
      </c>
    </row>
    <row r="3" spans="1:3" x14ac:dyDescent="0.25">
      <c r="A3" s="1" t="s">
        <v>748</v>
      </c>
      <c r="B3" t="s">
        <v>755</v>
      </c>
      <c r="C3" t="s">
        <v>751</v>
      </c>
    </row>
    <row r="4" spans="1:3" x14ac:dyDescent="0.25">
      <c r="A4" s="2" t="s">
        <v>19</v>
      </c>
      <c r="B4">
        <v>56</v>
      </c>
      <c r="C4">
        <v>3979248</v>
      </c>
    </row>
    <row r="5" spans="1:3" x14ac:dyDescent="0.25">
      <c r="A5" s="2" t="s">
        <v>24</v>
      </c>
      <c r="B5">
        <v>68</v>
      </c>
      <c r="C5">
        <v>4664494</v>
      </c>
    </row>
    <row r="6" spans="1:3" x14ac:dyDescent="0.25">
      <c r="A6" s="2" t="s">
        <v>27</v>
      </c>
      <c r="B6">
        <v>57</v>
      </c>
      <c r="C6">
        <v>4358153</v>
      </c>
    </row>
    <row r="7" spans="1:3" x14ac:dyDescent="0.25">
      <c r="A7" s="2" t="s">
        <v>12</v>
      </c>
      <c r="B7">
        <v>57</v>
      </c>
      <c r="C7">
        <v>4489558</v>
      </c>
    </row>
    <row r="8" spans="1:3" x14ac:dyDescent="0.25">
      <c r="A8" s="2" t="s">
        <v>34</v>
      </c>
      <c r="B8">
        <v>62</v>
      </c>
      <c r="C8">
        <v>4311219</v>
      </c>
    </row>
    <row r="9" spans="1:3" x14ac:dyDescent="0.25">
      <c r="A9" s="2" t="s">
        <v>749</v>
      </c>
      <c r="B9">
        <v>300</v>
      </c>
      <c r="C9">
        <v>21802672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22703-3C94-4529-955C-1566ED7D8FF2}">
  <dimension ref="A1:D11"/>
  <sheetViews>
    <sheetView workbookViewId="0">
      <selection activeCell="E16" sqref="E16"/>
    </sheetView>
  </sheetViews>
  <sheetFormatPr defaultRowHeight="15" x14ac:dyDescent="0.25"/>
  <cols>
    <col min="1" max="1" width="16.7109375" bestFit="1" customWidth="1"/>
    <col min="2" max="2" width="16.28515625" bestFit="1" customWidth="1"/>
    <col min="3" max="3" width="5.5703125" bestFit="1" customWidth="1"/>
    <col min="4" max="4" width="11.28515625" bestFit="1" customWidth="1"/>
  </cols>
  <sheetData>
    <row r="1" spans="1:4" x14ac:dyDescent="0.25">
      <c r="A1" s="1" t="s">
        <v>2</v>
      </c>
      <c r="B1" t="s">
        <v>757</v>
      </c>
    </row>
    <row r="3" spans="1:4" x14ac:dyDescent="0.25">
      <c r="A3" s="1" t="s">
        <v>755</v>
      </c>
      <c r="B3" s="1" t="s">
        <v>750</v>
      </c>
    </row>
    <row r="4" spans="1:4" x14ac:dyDescent="0.25">
      <c r="A4" s="1" t="s">
        <v>748</v>
      </c>
      <c r="B4" t="s">
        <v>20</v>
      </c>
      <c r="C4" t="s">
        <v>13</v>
      </c>
      <c r="D4" t="s">
        <v>749</v>
      </c>
    </row>
    <row r="5" spans="1:4" x14ac:dyDescent="0.25">
      <c r="A5" s="2" t="s">
        <v>763</v>
      </c>
      <c r="B5">
        <v>20</v>
      </c>
      <c r="C5">
        <v>19</v>
      </c>
      <c r="D5">
        <v>39</v>
      </c>
    </row>
    <row r="6" spans="1:4" x14ac:dyDescent="0.25">
      <c r="A6" s="2" t="s">
        <v>764</v>
      </c>
      <c r="B6">
        <v>31</v>
      </c>
      <c r="C6">
        <v>32</v>
      </c>
      <c r="D6">
        <v>63</v>
      </c>
    </row>
    <row r="7" spans="1:4" x14ac:dyDescent="0.25">
      <c r="A7" s="2" t="s">
        <v>765</v>
      </c>
      <c r="B7">
        <v>31</v>
      </c>
      <c r="C7">
        <v>25</v>
      </c>
      <c r="D7">
        <v>56</v>
      </c>
    </row>
    <row r="8" spans="1:4" x14ac:dyDescent="0.25">
      <c r="A8" s="2" t="s">
        <v>766</v>
      </c>
      <c r="B8">
        <v>25</v>
      </c>
      <c r="C8">
        <v>24</v>
      </c>
      <c r="D8">
        <v>49</v>
      </c>
    </row>
    <row r="9" spans="1:4" x14ac:dyDescent="0.25">
      <c r="A9" s="2" t="s">
        <v>767</v>
      </c>
      <c r="B9">
        <v>37</v>
      </c>
      <c r="C9">
        <v>20</v>
      </c>
      <c r="D9">
        <v>57</v>
      </c>
    </row>
    <row r="10" spans="1:4" x14ac:dyDescent="0.25">
      <c r="A10" s="2" t="s">
        <v>768</v>
      </c>
      <c r="B10">
        <v>24</v>
      </c>
      <c r="C10">
        <v>12</v>
      </c>
      <c r="D10">
        <v>36</v>
      </c>
    </row>
    <row r="11" spans="1:4" x14ac:dyDescent="0.25">
      <c r="A11" s="2" t="s">
        <v>749</v>
      </c>
      <c r="B11">
        <v>168</v>
      </c>
      <c r="C11">
        <v>132</v>
      </c>
      <c r="D11">
        <v>300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ECD83-8007-4C89-9CA7-AF9E54B19D5B}">
  <dimension ref="A1:B13"/>
  <sheetViews>
    <sheetView topLeftCell="B1" zoomScale="96" workbookViewId="0">
      <selection activeCell="O14" sqref="O14"/>
    </sheetView>
  </sheetViews>
  <sheetFormatPr defaultRowHeight="15" x14ac:dyDescent="0.25"/>
  <cols>
    <col min="1" max="1" width="13.28515625" bestFit="1" customWidth="1"/>
    <col min="2" max="2" width="21" bestFit="1" customWidth="1"/>
    <col min="3" max="4" width="11.42578125" bestFit="1" customWidth="1"/>
  </cols>
  <sheetData>
    <row r="1" spans="1:2" x14ac:dyDescent="0.25">
      <c r="A1" s="1" t="s">
        <v>3</v>
      </c>
      <c r="B1" t="s">
        <v>757</v>
      </c>
    </row>
    <row r="3" spans="1:2" x14ac:dyDescent="0.25">
      <c r="A3" s="1" t="s">
        <v>748</v>
      </c>
      <c r="B3" t="s">
        <v>772</v>
      </c>
    </row>
    <row r="4" spans="1:2" x14ac:dyDescent="0.25">
      <c r="A4" s="2">
        <v>2015</v>
      </c>
      <c r="B4">
        <v>28</v>
      </c>
    </row>
    <row r="5" spans="1:2" x14ac:dyDescent="0.25">
      <c r="A5" s="2">
        <v>2016</v>
      </c>
      <c r="B5">
        <v>41</v>
      </c>
    </row>
    <row r="6" spans="1:2" x14ac:dyDescent="0.25">
      <c r="A6" s="2">
        <v>2017</v>
      </c>
      <c r="B6">
        <v>40</v>
      </c>
    </row>
    <row r="7" spans="1:2" x14ac:dyDescent="0.25">
      <c r="A7" s="2">
        <v>2018</v>
      </c>
      <c r="B7">
        <v>37</v>
      </c>
    </row>
    <row r="8" spans="1:2" x14ac:dyDescent="0.25">
      <c r="A8" s="2">
        <v>2019</v>
      </c>
      <c r="B8">
        <v>32</v>
      </c>
    </row>
    <row r="9" spans="1:2" x14ac:dyDescent="0.25">
      <c r="A9" s="2">
        <v>2020</v>
      </c>
      <c r="B9">
        <v>43</v>
      </c>
    </row>
    <row r="10" spans="1:2" x14ac:dyDescent="0.25">
      <c r="A10" s="2">
        <v>2021</v>
      </c>
      <c r="B10">
        <v>40</v>
      </c>
    </row>
    <row r="11" spans="1:2" x14ac:dyDescent="0.25">
      <c r="A11" s="2">
        <v>2022</v>
      </c>
      <c r="B11">
        <v>29</v>
      </c>
    </row>
    <row r="12" spans="1:2" x14ac:dyDescent="0.25">
      <c r="A12" s="2">
        <v>2023</v>
      </c>
      <c r="B12">
        <v>10</v>
      </c>
    </row>
    <row r="13" spans="1:2" x14ac:dyDescent="0.25">
      <c r="A13" s="2" t="s">
        <v>749</v>
      </c>
      <c r="B13">
        <v>300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298E-7F68-417E-9014-589B971FC6F1}">
  <dimension ref="A3:B5"/>
  <sheetViews>
    <sheetView topLeftCell="A2" workbookViewId="0">
      <selection activeCell="B4" sqref="B4"/>
    </sheetView>
  </sheetViews>
  <sheetFormatPr defaultRowHeight="15" x14ac:dyDescent="0.25"/>
  <cols>
    <col min="1" max="1" width="13.140625" bestFit="1" customWidth="1"/>
    <col min="2" max="2" width="21" bestFit="1" customWidth="1"/>
  </cols>
  <sheetData>
    <row r="3" spans="1:2" x14ac:dyDescent="0.25">
      <c r="A3" s="1" t="s">
        <v>748</v>
      </c>
      <c r="B3" t="s">
        <v>772</v>
      </c>
    </row>
    <row r="4" spans="1:2" x14ac:dyDescent="0.25">
      <c r="A4" s="2" t="s">
        <v>770</v>
      </c>
      <c r="B4">
        <v>80</v>
      </c>
    </row>
    <row r="5" spans="1:2" x14ac:dyDescent="0.25">
      <c r="A5" s="2" t="s">
        <v>771</v>
      </c>
      <c r="B5">
        <v>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
  <sheetViews>
    <sheetView workbookViewId="0">
      <selection sqref="A1:Q301"/>
    </sheetView>
  </sheetViews>
  <sheetFormatPr defaultRowHeight="15" x14ac:dyDescent="0.25"/>
  <cols>
    <col min="1" max="1" width="15.140625" customWidth="1"/>
    <col min="3" max="3" width="11.7109375" bestFit="1" customWidth="1"/>
    <col min="5" max="5" width="6.85546875" customWidth="1"/>
    <col min="6" max="6" width="12.42578125" bestFit="1" customWidth="1"/>
    <col min="7" max="7" width="10.42578125" bestFit="1" customWidth="1"/>
    <col min="8" max="8" width="7" bestFit="1" customWidth="1"/>
    <col min="9" max="9" width="8.5703125" bestFit="1" customWidth="1"/>
    <col min="10" max="10" width="19.28515625" bestFit="1" customWidth="1"/>
    <col min="11" max="11" width="10.85546875" bestFit="1" customWidth="1"/>
    <col min="13" max="13" width="17.5703125" bestFit="1" customWidth="1"/>
    <col min="14" max="14" width="16.42578125" bestFit="1" customWidth="1"/>
    <col min="15" max="15" width="16.42578125" customWidth="1"/>
    <col min="16" max="16" width="12.5703125" bestFit="1" customWidth="1"/>
  </cols>
  <sheetData>
    <row r="1" spans="1:17" x14ac:dyDescent="0.25">
      <c r="A1" s="4" t="s">
        <v>0</v>
      </c>
      <c r="B1" s="4" t="s">
        <v>1</v>
      </c>
      <c r="C1" s="4" t="s">
        <v>2</v>
      </c>
      <c r="D1" s="4" t="s">
        <v>3</v>
      </c>
      <c r="E1" s="4" t="s">
        <v>4</v>
      </c>
      <c r="F1" s="4" t="s">
        <v>5</v>
      </c>
      <c r="G1" s="4" t="s">
        <v>6</v>
      </c>
      <c r="H1" s="4" t="s">
        <v>7</v>
      </c>
      <c r="I1" s="4" t="s">
        <v>8</v>
      </c>
      <c r="J1" s="4" t="s">
        <v>9</v>
      </c>
      <c r="K1" s="4" t="s">
        <v>752</v>
      </c>
      <c r="L1" s="4" t="s">
        <v>753</v>
      </c>
      <c r="M1" s="4" t="s">
        <v>756</v>
      </c>
      <c r="N1" s="4" t="s">
        <v>769</v>
      </c>
      <c r="O1" s="5" t="s">
        <v>780</v>
      </c>
      <c r="P1" s="5" t="s">
        <v>773</v>
      </c>
      <c r="Q1" s="5" t="s">
        <v>771</v>
      </c>
    </row>
    <row r="2" spans="1:17" x14ac:dyDescent="0.25">
      <c r="A2" s="4" t="s">
        <v>10</v>
      </c>
      <c r="B2" s="4" t="s">
        <v>11</v>
      </c>
      <c r="C2" s="4" t="s">
        <v>12</v>
      </c>
      <c r="D2" s="4" t="s">
        <v>13</v>
      </c>
      <c r="E2" s="4">
        <v>29</v>
      </c>
      <c r="F2" s="4" t="s">
        <v>14</v>
      </c>
      <c r="G2" s="4" t="s">
        <v>15</v>
      </c>
      <c r="H2" s="4">
        <v>113869</v>
      </c>
      <c r="I2" s="4" t="s">
        <v>16</v>
      </c>
      <c r="J2" s="4">
        <v>1</v>
      </c>
      <c r="K2" s="4">
        <f>(G2-F2)/365</f>
        <v>1.5287671232876712</v>
      </c>
      <c r="L2" s="4" t="str" cm="1">
        <f t="array" ref="L2">_xlfn.IFS(E2&gt;M1=40,"Senior",E2&gt;=30,"Menior",E2&lt;30,"Fresher")</f>
        <v>Fresher</v>
      </c>
      <c r="M2" s="4" t="str" cm="1">
        <f t="array" ref="M2">_xlfn.IFS(J2&gt;4,"High rating",J2&gt;=3,"Medium rating",J2&lt;3,"Low rating")</f>
        <v>Low rating</v>
      </c>
      <c r="N2" s="4" t="str">
        <f>IF(AND(G2&lt;&gt;"",DATEDIF(F2,G2,"y")&lt;2),"yes","no")</f>
        <v>yes</v>
      </c>
      <c r="O2" cm="1">
        <f t="array" ref="O2:O301">YEAR(F2:F301)</f>
        <v>2016</v>
      </c>
      <c r="P2" s="6">
        <f>(151*100)/300</f>
        <v>50.333333333333336</v>
      </c>
      <c r="Q2">
        <f>COUNTIF(I2:I301,"yes")</f>
        <v>151</v>
      </c>
    </row>
    <row r="3" spans="1:17" x14ac:dyDescent="0.25">
      <c r="A3" s="4" t="s">
        <v>17</v>
      </c>
      <c r="B3" s="4" t="s">
        <v>18</v>
      </c>
      <c r="C3" s="4" t="s">
        <v>19</v>
      </c>
      <c r="D3" s="4" t="s">
        <v>20</v>
      </c>
      <c r="E3" s="4">
        <v>42</v>
      </c>
      <c r="F3" s="4" t="s">
        <v>21</v>
      </c>
      <c r="G3" s="4"/>
      <c r="H3" s="4">
        <v>31939</v>
      </c>
      <c r="I3" s="4" t="s">
        <v>22</v>
      </c>
      <c r="J3" s="4">
        <v>2</v>
      </c>
      <c r="K3" s="4"/>
      <c r="L3" s="4" t="str" cm="1">
        <f t="array" ref="L3">_xlfn.IFS(E3&gt;=40,"Senior",E3&gt;=30,"Menior",E3&lt;30,"Fresher")</f>
        <v>Senior</v>
      </c>
      <c r="M3" s="4" t="str" cm="1">
        <f t="array" ref="M3">_xlfn.IFS(J3&gt;4,"High rating",J3&gt;=3,"Medium rating",J3&lt;3,"Low rating")</f>
        <v>Low rating</v>
      </c>
      <c r="N3" s="4"/>
      <c r="O3">
        <v>2018</v>
      </c>
      <c r="P3" s="6"/>
    </row>
    <row r="4" spans="1:17" x14ac:dyDescent="0.25">
      <c r="A4" s="4" t="s">
        <v>23</v>
      </c>
      <c r="B4" s="4" t="s">
        <v>18</v>
      </c>
      <c r="C4" s="4" t="s">
        <v>24</v>
      </c>
      <c r="D4" s="4" t="s">
        <v>20</v>
      </c>
      <c r="E4" s="4">
        <v>28</v>
      </c>
      <c r="F4" s="4" t="s">
        <v>25</v>
      </c>
      <c r="G4" s="4"/>
      <c r="H4" s="4">
        <v>85304</v>
      </c>
      <c r="I4" s="4" t="s">
        <v>22</v>
      </c>
      <c r="J4" s="4">
        <v>4</v>
      </c>
      <c r="K4" s="4"/>
      <c r="L4" s="4" t="str" cm="1">
        <f t="array" ref="L4">_xlfn.IFS(E4&gt;=40,"Senior",E4&gt;=30,"Menior",E4&lt;30,"Fresher")</f>
        <v>Fresher</v>
      </c>
      <c r="M4" s="4" t="str" cm="1">
        <f t="array" ref="M4">_xlfn.IFS(J4&gt;4,"High rating",J4&gt;=3,"Medium rating",J4&lt;3,"Low rating")</f>
        <v>Medium rating</v>
      </c>
      <c r="N4" s="4"/>
      <c r="O4">
        <v>2015</v>
      </c>
      <c r="P4" s="6"/>
    </row>
    <row r="5" spans="1:17" x14ac:dyDescent="0.25">
      <c r="A5" s="4" t="s">
        <v>26</v>
      </c>
      <c r="B5" s="4" t="s">
        <v>11</v>
      </c>
      <c r="C5" s="4" t="s">
        <v>27</v>
      </c>
      <c r="D5" s="4" t="s">
        <v>20</v>
      </c>
      <c r="E5" s="4">
        <v>23</v>
      </c>
      <c r="F5" s="4" t="s">
        <v>28</v>
      </c>
      <c r="G5" s="4" t="s">
        <v>29</v>
      </c>
      <c r="H5" s="4">
        <v>26432</v>
      </c>
      <c r="I5" s="4" t="s">
        <v>16</v>
      </c>
      <c r="J5" s="4">
        <v>5</v>
      </c>
      <c r="K5" s="4">
        <f t="shared" ref="K5:K66" si="0">(G5-F5)/365</f>
        <v>0.17808219178082191</v>
      </c>
      <c r="L5" s="4" t="str" cm="1">
        <f t="array" ref="L5">_xlfn.IFS(E5&gt;=40,"Senior",E5&gt;=30,"Menior",E5&lt;30,"Fresher")</f>
        <v>Fresher</v>
      </c>
      <c r="M5" s="4" t="str" cm="1">
        <f t="array" ref="M5">_xlfn.IFS(J5&gt;4,"High rating",J5&gt;=3,"Medium rating",J5&lt;3,"Low rating")</f>
        <v>High rating</v>
      </c>
      <c r="N5" s="4" t="str">
        <f t="shared" ref="N5:N66" si="1">IF(AND(G5&lt;&gt;"",DATEDIF(F5,G5,"y")&lt;2),"yes","no")</f>
        <v>yes</v>
      </c>
      <c r="O5">
        <v>2016</v>
      </c>
      <c r="P5" s="6"/>
    </row>
    <row r="6" spans="1:17" x14ac:dyDescent="0.25">
      <c r="A6" s="4" t="s">
        <v>30</v>
      </c>
      <c r="B6" s="4" t="s">
        <v>18</v>
      </c>
      <c r="C6" s="4" t="s">
        <v>19</v>
      </c>
      <c r="D6" s="4" t="s">
        <v>13</v>
      </c>
      <c r="E6" s="4">
        <v>24</v>
      </c>
      <c r="F6" s="4" t="s">
        <v>31</v>
      </c>
      <c r="G6" s="4"/>
      <c r="H6" s="4">
        <v>115816</v>
      </c>
      <c r="I6" s="4" t="s">
        <v>22</v>
      </c>
      <c r="J6" s="4">
        <v>2</v>
      </c>
      <c r="K6" s="4"/>
      <c r="L6" s="4" t="str" cm="1">
        <f t="array" ref="L6">_xlfn.IFS(E6&gt;=40,"Senior",E6&gt;=30,"Menior",E6&lt;30,"Fresher")</f>
        <v>Fresher</v>
      </c>
      <c r="M6" s="4" t="str" cm="1">
        <f t="array" ref="M6">_xlfn.IFS(J6&gt;4,"High rating",J6&gt;=3,"Medium rating",J6&lt;3,"Low rating")</f>
        <v>Low rating</v>
      </c>
      <c r="N6" s="4"/>
      <c r="O6">
        <v>2015</v>
      </c>
      <c r="P6" s="6"/>
    </row>
    <row r="7" spans="1:17" x14ac:dyDescent="0.25">
      <c r="A7" s="4" t="s">
        <v>32</v>
      </c>
      <c r="B7" s="4" t="s">
        <v>33</v>
      </c>
      <c r="C7" s="4" t="s">
        <v>34</v>
      </c>
      <c r="D7" s="4" t="s">
        <v>20</v>
      </c>
      <c r="E7" s="4">
        <v>27</v>
      </c>
      <c r="F7" s="4" t="s">
        <v>35</v>
      </c>
      <c r="G7" s="4"/>
      <c r="H7" s="4">
        <v>73467</v>
      </c>
      <c r="I7" s="4" t="s">
        <v>22</v>
      </c>
      <c r="J7" s="4">
        <v>3</v>
      </c>
      <c r="K7" s="4"/>
      <c r="L7" s="4" t="str" cm="1">
        <f t="array" ref="L7">_xlfn.IFS(E7&gt;=40,"Senior",E7&gt;=30,"Menior",E7&lt;30,"Fresher")</f>
        <v>Fresher</v>
      </c>
      <c r="M7" s="4" t="str" cm="1">
        <f t="array" ref="M7">_xlfn.IFS(J7&gt;4,"High rating",J7&gt;=3,"Medium rating",J7&lt;3,"Low rating")</f>
        <v>Medium rating</v>
      </c>
      <c r="N7" s="4"/>
      <c r="O7">
        <v>2015</v>
      </c>
    </row>
    <row r="8" spans="1:17" x14ac:dyDescent="0.25">
      <c r="A8" s="4" t="s">
        <v>36</v>
      </c>
      <c r="B8" s="4" t="s">
        <v>37</v>
      </c>
      <c r="C8" s="4" t="s">
        <v>19</v>
      </c>
      <c r="D8" s="4" t="s">
        <v>20</v>
      </c>
      <c r="E8" s="4">
        <v>35</v>
      </c>
      <c r="F8" s="4" t="s">
        <v>38</v>
      </c>
      <c r="G8" s="4"/>
      <c r="H8" s="4">
        <v>30425</v>
      </c>
      <c r="I8" s="4" t="s">
        <v>22</v>
      </c>
      <c r="J8" s="4">
        <v>5</v>
      </c>
      <c r="K8" s="4"/>
      <c r="L8" s="4" t="str" cm="1">
        <f t="array" ref="L8">_xlfn.IFS(E8&gt;=40,"Senior",E8&gt;=30,"Menior",E8&lt;30,"Fresher")</f>
        <v>Menior</v>
      </c>
      <c r="M8" s="4" t="str" cm="1">
        <f t="array" ref="M8">_xlfn.IFS(J8&gt;4,"High rating",J8&gt;=3,"Medium rating",J8&lt;3,"Low rating")</f>
        <v>High rating</v>
      </c>
      <c r="N8" s="4"/>
      <c r="O8">
        <v>2017</v>
      </c>
    </row>
    <row r="9" spans="1:17" x14ac:dyDescent="0.25">
      <c r="A9" s="4" t="s">
        <v>39</v>
      </c>
      <c r="B9" s="4" t="s">
        <v>40</v>
      </c>
      <c r="C9" s="4" t="s">
        <v>27</v>
      </c>
      <c r="D9" s="4" t="s">
        <v>13</v>
      </c>
      <c r="E9" s="4">
        <v>38</v>
      </c>
      <c r="F9" s="4" t="s">
        <v>41</v>
      </c>
      <c r="G9" s="4" t="s">
        <v>42</v>
      </c>
      <c r="H9" s="4">
        <v>63115</v>
      </c>
      <c r="I9" s="4" t="s">
        <v>16</v>
      </c>
      <c r="J9" s="4">
        <v>3</v>
      </c>
      <c r="K9" s="4">
        <f t="shared" si="0"/>
        <v>1.2876712328767124</v>
      </c>
      <c r="L9" s="4" t="str" cm="1">
        <f t="array" ref="L9">_xlfn.IFS(E9&gt;=40,"Senior",E9&gt;=30,"Menior",E9&lt;30,"Fresher")</f>
        <v>Menior</v>
      </c>
      <c r="M9" s="4" t="str" cm="1">
        <f t="array" ref="M9">_xlfn.IFS(J9&gt;4,"High rating",J9&gt;=3,"Medium rating",J9&lt;3,"Low rating")</f>
        <v>Medium rating</v>
      </c>
      <c r="N9" s="4" t="str">
        <f t="shared" si="1"/>
        <v>yes</v>
      </c>
      <c r="O9">
        <v>2018</v>
      </c>
    </row>
    <row r="10" spans="1:17" x14ac:dyDescent="0.25">
      <c r="A10" s="4" t="s">
        <v>43</v>
      </c>
      <c r="B10" s="4" t="s">
        <v>44</v>
      </c>
      <c r="C10" s="4" t="s">
        <v>27</v>
      </c>
      <c r="D10" s="4" t="s">
        <v>13</v>
      </c>
      <c r="E10" s="4">
        <v>34</v>
      </c>
      <c r="F10" s="4" t="s">
        <v>45</v>
      </c>
      <c r="G10" s="4" t="s">
        <v>46</v>
      </c>
      <c r="H10" s="4">
        <v>39535</v>
      </c>
      <c r="I10" s="4" t="s">
        <v>16</v>
      </c>
      <c r="J10" s="4">
        <v>3</v>
      </c>
      <c r="K10" s="4">
        <f t="shared" si="0"/>
        <v>0.50958904109589043</v>
      </c>
      <c r="L10" s="4" t="str" cm="1">
        <f t="array" ref="L10">_xlfn.IFS(E10&gt;=40,"Senior",E10&gt;=30,"Menior",E10&lt;30,"Fresher")</f>
        <v>Menior</v>
      </c>
      <c r="M10" s="4" t="str" cm="1">
        <f t="array" ref="M10">_xlfn.IFS(J10&gt;4,"High rating",J10&gt;=3,"Medium rating",J10&lt;3,"Low rating")</f>
        <v>Medium rating</v>
      </c>
      <c r="N10" s="4" t="str">
        <f t="shared" si="1"/>
        <v>yes</v>
      </c>
      <c r="O10">
        <v>2017</v>
      </c>
    </row>
    <row r="11" spans="1:17" x14ac:dyDescent="0.25">
      <c r="A11" s="4" t="s">
        <v>47</v>
      </c>
      <c r="B11" s="4" t="s">
        <v>18</v>
      </c>
      <c r="C11" s="4" t="s">
        <v>24</v>
      </c>
      <c r="D11" s="4" t="s">
        <v>20</v>
      </c>
      <c r="E11" s="4">
        <v>42</v>
      </c>
      <c r="F11" s="4" t="s">
        <v>48</v>
      </c>
      <c r="G11" s="4"/>
      <c r="H11" s="4">
        <v>32003</v>
      </c>
      <c r="I11" s="4" t="s">
        <v>22</v>
      </c>
      <c r="J11" s="4">
        <v>2</v>
      </c>
      <c r="K11" s="4"/>
      <c r="L11" s="4" t="str" cm="1">
        <f t="array" ref="L11">_xlfn.IFS(E11&gt;=40,"Senior",E11&gt;=30,"Menior",E11&lt;30,"Fresher")</f>
        <v>Senior</v>
      </c>
      <c r="M11" s="4" t="str" cm="1">
        <f t="array" ref="M11">_xlfn.IFS(J11&gt;4,"High rating",J11&gt;=3,"Medium rating",J11&lt;3,"Low rating")</f>
        <v>Low rating</v>
      </c>
      <c r="N11" s="4"/>
      <c r="O11">
        <v>2016</v>
      </c>
    </row>
    <row r="12" spans="1:17" x14ac:dyDescent="0.25">
      <c r="A12" s="4" t="s">
        <v>49</v>
      </c>
      <c r="B12" s="4" t="s">
        <v>18</v>
      </c>
      <c r="C12" s="4" t="s">
        <v>12</v>
      </c>
      <c r="D12" s="4" t="s">
        <v>20</v>
      </c>
      <c r="E12" s="4">
        <v>32</v>
      </c>
      <c r="F12" s="4" t="s">
        <v>50</v>
      </c>
      <c r="G12" s="4"/>
      <c r="H12" s="4">
        <v>89966</v>
      </c>
      <c r="I12" s="4" t="s">
        <v>22</v>
      </c>
      <c r="J12" s="4">
        <v>4</v>
      </c>
      <c r="K12" s="4"/>
      <c r="L12" s="4" t="str" cm="1">
        <f t="array" ref="L12">_xlfn.IFS(E12&gt;=40,"Senior",E12&gt;=30,"Menior",E12&lt;30,"Fresher")</f>
        <v>Menior</v>
      </c>
      <c r="M12" s="4" t="str" cm="1">
        <f t="array" ref="M12">_xlfn.IFS(J12&gt;4,"High rating",J12&gt;=3,"Medium rating",J12&lt;3,"Low rating")</f>
        <v>Medium rating</v>
      </c>
      <c r="N12" s="4"/>
      <c r="O12">
        <v>2019</v>
      </c>
    </row>
    <row r="13" spans="1:17" x14ac:dyDescent="0.25">
      <c r="A13" s="4" t="s">
        <v>51</v>
      </c>
      <c r="B13" s="4" t="s">
        <v>52</v>
      </c>
      <c r="C13" s="4" t="s">
        <v>12</v>
      </c>
      <c r="D13" s="4" t="s">
        <v>20</v>
      </c>
      <c r="E13" s="4">
        <v>27</v>
      </c>
      <c r="F13" s="4" t="s">
        <v>53</v>
      </c>
      <c r="G13" s="4"/>
      <c r="H13" s="4">
        <v>76221</v>
      </c>
      <c r="I13" s="4" t="s">
        <v>22</v>
      </c>
      <c r="J13" s="4">
        <v>1</v>
      </c>
      <c r="K13" s="4"/>
      <c r="L13" s="4" t="str" cm="1">
        <f t="array" ref="L13">_xlfn.IFS(E13&gt;=40,"Senior",E13&gt;=30,"Menior",E13&lt;30,"Fresher")</f>
        <v>Fresher</v>
      </c>
      <c r="M13" s="4" t="str" cm="1">
        <f t="array" ref="M13">_xlfn.IFS(J13&gt;4,"High rating",J13&gt;=3,"Medium rating",J13&lt;3,"Low rating")</f>
        <v>Low rating</v>
      </c>
      <c r="N13" s="4"/>
      <c r="O13">
        <v>2021</v>
      </c>
    </row>
    <row r="14" spans="1:17" x14ac:dyDescent="0.25">
      <c r="A14" s="4" t="s">
        <v>54</v>
      </c>
      <c r="B14" s="4" t="s">
        <v>37</v>
      </c>
      <c r="C14" s="4" t="s">
        <v>24</v>
      </c>
      <c r="D14" s="4" t="s">
        <v>13</v>
      </c>
      <c r="E14" s="4">
        <v>39</v>
      </c>
      <c r="F14" s="4" t="s">
        <v>55</v>
      </c>
      <c r="G14" s="4" t="s">
        <v>56</v>
      </c>
      <c r="H14" s="4">
        <v>106904</v>
      </c>
      <c r="I14" s="4" t="s">
        <v>16</v>
      </c>
      <c r="J14" s="4">
        <v>4</v>
      </c>
      <c r="K14" s="4">
        <f t="shared" si="0"/>
        <v>3.4657534246575343</v>
      </c>
      <c r="L14" s="4" t="str" cm="1">
        <f t="array" ref="L14">_xlfn.IFS(E14&gt;=40,"Senior",E14&gt;=30,"Menior",E14&lt;30,"Fresher")</f>
        <v>Menior</v>
      </c>
      <c r="M14" s="4" t="str" cm="1">
        <f t="array" ref="M14">_xlfn.IFS(J14&gt;4,"High rating",J14&gt;=3,"Medium rating",J14&lt;3,"Low rating")</f>
        <v>Medium rating</v>
      </c>
      <c r="N14" s="4" t="str">
        <f t="shared" si="1"/>
        <v>no</v>
      </c>
      <c r="O14">
        <v>2016</v>
      </c>
    </row>
    <row r="15" spans="1:17" x14ac:dyDescent="0.25">
      <c r="A15" s="4" t="s">
        <v>57</v>
      </c>
      <c r="B15" s="4" t="s">
        <v>58</v>
      </c>
      <c r="C15" s="4" t="s">
        <v>34</v>
      </c>
      <c r="D15" s="4" t="s">
        <v>20</v>
      </c>
      <c r="E15" s="4">
        <v>47</v>
      </c>
      <c r="F15" s="4" t="s">
        <v>59</v>
      </c>
      <c r="G15" s="4"/>
      <c r="H15" s="4">
        <v>53650</v>
      </c>
      <c r="I15" s="4" t="s">
        <v>22</v>
      </c>
      <c r="J15" s="4">
        <v>3</v>
      </c>
      <c r="K15" s="4"/>
      <c r="L15" s="4" t="str" cm="1">
        <f t="array" ref="L15">_xlfn.IFS(E15&gt;=40,"Senior",E15&gt;=30,"Menior",E15&lt;30,"Fresher")</f>
        <v>Senior</v>
      </c>
      <c r="M15" s="4" t="str" cm="1">
        <f t="array" ref="M15">_xlfn.IFS(J15&gt;4,"High rating",J15&gt;=3,"Medium rating",J15&lt;3,"Low rating")</f>
        <v>Medium rating</v>
      </c>
      <c r="N15" s="4"/>
      <c r="O15">
        <v>2022</v>
      </c>
    </row>
    <row r="16" spans="1:17" x14ac:dyDescent="0.25">
      <c r="A16" s="4" t="s">
        <v>60</v>
      </c>
      <c r="B16" s="4" t="s">
        <v>18</v>
      </c>
      <c r="C16" s="4" t="s">
        <v>19</v>
      </c>
      <c r="D16" s="4" t="s">
        <v>20</v>
      </c>
      <c r="E16" s="4">
        <v>23</v>
      </c>
      <c r="F16" s="4" t="s">
        <v>61</v>
      </c>
      <c r="G16" s="4" t="s">
        <v>62</v>
      </c>
      <c r="H16" s="4">
        <v>75411</v>
      </c>
      <c r="I16" s="4" t="s">
        <v>16</v>
      </c>
      <c r="J16" s="4">
        <v>5</v>
      </c>
      <c r="K16" s="4">
        <f t="shared" si="0"/>
        <v>1.2438356164383562</v>
      </c>
      <c r="L16" s="4" t="str" cm="1">
        <f t="array" ref="L16">_xlfn.IFS(E16&gt;=40,"Senior",E16&gt;=30,"Menior",E16&lt;30,"Fresher")</f>
        <v>Fresher</v>
      </c>
      <c r="M16" s="4" t="str" cm="1">
        <f t="array" ref="M16">_xlfn.IFS(J16&gt;4,"High rating",J16&gt;=3,"Medium rating",J16&lt;3,"Low rating")</f>
        <v>High rating</v>
      </c>
      <c r="N16" s="4" t="str">
        <f t="shared" si="1"/>
        <v>yes</v>
      </c>
      <c r="O16">
        <v>2017</v>
      </c>
    </row>
    <row r="17" spans="1:15" x14ac:dyDescent="0.25">
      <c r="A17" s="4" t="s">
        <v>63</v>
      </c>
      <c r="B17" s="4" t="s">
        <v>58</v>
      </c>
      <c r="C17" s="4" t="s">
        <v>27</v>
      </c>
      <c r="D17" s="4" t="s">
        <v>13</v>
      </c>
      <c r="E17" s="4">
        <v>34</v>
      </c>
      <c r="F17" s="4" t="s">
        <v>64</v>
      </c>
      <c r="G17" s="4"/>
      <c r="H17" s="4">
        <v>27620</v>
      </c>
      <c r="I17" s="4" t="s">
        <v>22</v>
      </c>
      <c r="J17" s="4">
        <v>2</v>
      </c>
      <c r="K17" s="4"/>
      <c r="L17" s="4" t="str" cm="1">
        <f t="array" ref="L17">_xlfn.IFS(E17&gt;=40,"Senior",E17&gt;=30,"Menior",E17&lt;30,"Fresher")</f>
        <v>Menior</v>
      </c>
      <c r="M17" s="4" t="str" cm="1">
        <f t="array" ref="M17">_xlfn.IFS(J17&gt;4,"High rating",J17&gt;=3,"Medium rating",J17&lt;3,"Low rating")</f>
        <v>Low rating</v>
      </c>
      <c r="N17" s="4"/>
      <c r="O17">
        <v>2020</v>
      </c>
    </row>
    <row r="18" spans="1:15" x14ac:dyDescent="0.25">
      <c r="A18" s="4" t="s">
        <v>65</v>
      </c>
      <c r="B18" s="4" t="s">
        <v>11</v>
      </c>
      <c r="C18" s="4" t="s">
        <v>19</v>
      </c>
      <c r="D18" s="4" t="s">
        <v>13</v>
      </c>
      <c r="E18" s="4">
        <v>27</v>
      </c>
      <c r="F18" s="4" t="s">
        <v>66</v>
      </c>
      <c r="G18" s="4" t="s">
        <v>67</v>
      </c>
      <c r="H18" s="4">
        <v>85021</v>
      </c>
      <c r="I18" s="4" t="s">
        <v>16</v>
      </c>
      <c r="J18" s="4">
        <v>5</v>
      </c>
      <c r="K18" s="4">
        <f t="shared" si="0"/>
        <v>3.106849315068493</v>
      </c>
      <c r="L18" s="4" t="str" cm="1">
        <f t="array" ref="L18">_xlfn.IFS(E18&gt;=40,"Senior",E18&gt;=30,"Menior",E18&lt;30,"Fresher")</f>
        <v>Fresher</v>
      </c>
      <c r="M18" s="4" t="str" cm="1">
        <f t="array" ref="M18">_xlfn.IFS(J18&gt;4,"High rating",J18&gt;=3,"Medium rating",J18&lt;3,"Low rating")</f>
        <v>High rating</v>
      </c>
      <c r="N18" s="4" t="str">
        <f t="shared" si="1"/>
        <v>no</v>
      </c>
      <c r="O18">
        <v>2016</v>
      </c>
    </row>
    <row r="19" spans="1:15" x14ac:dyDescent="0.25">
      <c r="A19" s="4" t="s">
        <v>68</v>
      </c>
      <c r="B19" s="4" t="s">
        <v>33</v>
      </c>
      <c r="C19" s="4" t="s">
        <v>19</v>
      </c>
      <c r="D19" s="4" t="s">
        <v>13</v>
      </c>
      <c r="E19" s="4">
        <v>24</v>
      </c>
      <c r="F19" s="4" t="s">
        <v>69</v>
      </c>
      <c r="G19" s="4"/>
      <c r="H19" s="4">
        <v>64693</v>
      </c>
      <c r="I19" s="4" t="s">
        <v>22</v>
      </c>
      <c r="J19" s="4">
        <v>3</v>
      </c>
      <c r="K19" s="4"/>
      <c r="L19" s="4" t="str" cm="1">
        <f t="array" ref="L19">_xlfn.IFS(E19&gt;=40,"Senior",E19&gt;=30,"Menior",E19&lt;30,"Fresher")</f>
        <v>Fresher</v>
      </c>
      <c r="M19" s="4" t="str" cm="1">
        <f t="array" ref="M19">_xlfn.IFS(J19&gt;4,"High rating",J19&gt;=3,"Medium rating",J19&lt;3,"Low rating")</f>
        <v>Medium rating</v>
      </c>
      <c r="N19" s="4"/>
      <c r="O19">
        <v>2020</v>
      </c>
    </row>
    <row r="20" spans="1:15" x14ac:dyDescent="0.25">
      <c r="A20" s="4" t="s">
        <v>70</v>
      </c>
      <c r="B20" s="4" t="s">
        <v>44</v>
      </c>
      <c r="C20" s="4" t="s">
        <v>34</v>
      </c>
      <c r="D20" s="4" t="s">
        <v>13</v>
      </c>
      <c r="E20" s="4">
        <v>28</v>
      </c>
      <c r="F20" s="4" t="s">
        <v>71</v>
      </c>
      <c r="G20" s="4"/>
      <c r="H20" s="4">
        <v>79717</v>
      </c>
      <c r="I20" s="4" t="s">
        <v>22</v>
      </c>
      <c r="J20" s="4">
        <v>1</v>
      </c>
      <c r="K20" s="4"/>
      <c r="L20" s="4" t="str" cm="1">
        <f t="array" ref="L20">_xlfn.IFS(E20&gt;=40,"Senior",E20&gt;=30,"Menior",E20&lt;30,"Fresher")</f>
        <v>Fresher</v>
      </c>
      <c r="M20" s="4" t="str" cm="1">
        <f t="array" ref="M20">_xlfn.IFS(J20&gt;4,"High rating",J20&gt;=3,"Medium rating",J20&lt;3,"Low rating")</f>
        <v>Low rating</v>
      </c>
      <c r="N20" s="4"/>
      <c r="O20">
        <v>2019</v>
      </c>
    </row>
    <row r="21" spans="1:15" x14ac:dyDescent="0.25">
      <c r="A21" s="4" t="s">
        <v>72</v>
      </c>
      <c r="B21" s="4" t="s">
        <v>73</v>
      </c>
      <c r="C21" s="4" t="s">
        <v>34</v>
      </c>
      <c r="D21" s="4" t="s">
        <v>20</v>
      </c>
      <c r="E21" s="4">
        <v>31</v>
      </c>
      <c r="F21" s="4" t="s">
        <v>74</v>
      </c>
      <c r="G21" s="4"/>
      <c r="H21" s="4">
        <v>71721</v>
      </c>
      <c r="I21" s="4" t="s">
        <v>22</v>
      </c>
      <c r="J21" s="4">
        <v>1</v>
      </c>
      <c r="K21" s="4"/>
      <c r="L21" s="4" t="str" cm="1">
        <f t="array" ref="L21">_xlfn.IFS(E21&gt;=40,"Senior",E21&gt;=30,"Menior",E21&lt;30,"Fresher")</f>
        <v>Menior</v>
      </c>
      <c r="M21" s="4" t="str" cm="1">
        <f t="array" ref="M21">_xlfn.IFS(J21&gt;4,"High rating",J21&gt;=3,"Medium rating",J21&lt;3,"Low rating")</f>
        <v>Low rating</v>
      </c>
      <c r="N21" s="4"/>
      <c r="O21">
        <v>2019</v>
      </c>
    </row>
    <row r="22" spans="1:15" x14ac:dyDescent="0.25">
      <c r="A22" s="4" t="s">
        <v>75</v>
      </c>
      <c r="B22" s="4" t="s">
        <v>44</v>
      </c>
      <c r="C22" s="4" t="s">
        <v>19</v>
      </c>
      <c r="D22" s="4" t="s">
        <v>20</v>
      </c>
      <c r="E22" s="4">
        <v>45</v>
      </c>
      <c r="F22" s="4" t="s">
        <v>76</v>
      </c>
      <c r="G22" s="4"/>
      <c r="H22" s="4">
        <v>84541</v>
      </c>
      <c r="I22" s="4" t="s">
        <v>22</v>
      </c>
      <c r="J22" s="4">
        <v>5</v>
      </c>
      <c r="K22" s="4"/>
      <c r="L22" s="4" t="str" cm="1">
        <f t="array" ref="L22">_xlfn.IFS(E22&gt;=40,"Senior",E22&gt;=30,"Menior",E22&lt;30,"Fresher")</f>
        <v>Senior</v>
      </c>
      <c r="M22" s="4" t="str" cm="1">
        <f t="array" ref="M22">_xlfn.IFS(J22&gt;4,"High rating",J22&gt;=3,"Medium rating",J22&lt;3,"Low rating")</f>
        <v>High rating</v>
      </c>
      <c r="N22" s="4"/>
      <c r="O22">
        <v>2021</v>
      </c>
    </row>
    <row r="23" spans="1:15" x14ac:dyDescent="0.25">
      <c r="A23" s="4" t="s">
        <v>77</v>
      </c>
      <c r="B23" s="4" t="s">
        <v>37</v>
      </c>
      <c r="C23" s="4" t="s">
        <v>24</v>
      </c>
      <c r="D23" s="4" t="s">
        <v>13</v>
      </c>
      <c r="E23" s="4">
        <v>45</v>
      </c>
      <c r="F23" s="4" t="s">
        <v>78</v>
      </c>
      <c r="G23" s="4" t="s">
        <v>79</v>
      </c>
      <c r="H23" s="4">
        <v>61842</v>
      </c>
      <c r="I23" s="4" t="s">
        <v>16</v>
      </c>
      <c r="J23" s="4">
        <v>4</v>
      </c>
      <c r="K23" s="4">
        <f t="shared" si="0"/>
        <v>3.3945205479452056</v>
      </c>
      <c r="L23" s="4" t="str" cm="1">
        <f t="array" ref="L23">_xlfn.IFS(E23&gt;=40,"Senior",E23&gt;=30,"Menior",E23&lt;30,"Fresher")</f>
        <v>Senior</v>
      </c>
      <c r="M23" s="4" t="str" cm="1">
        <f t="array" ref="M23">_xlfn.IFS(J23&gt;4,"High rating",J23&gt;=3,"Medium rating",J23&lt;3,"Low rating")</f>
        <v>Medium rating</v>
      </c>
      <c r="N23" s="4" t="str">
        <f t="shared" si="1"/>
        <v>no</v>
      </c>
      <c r="O23">
        <v>2019</v>
      </c>
    </row>
    <row r="24" spans="1:15" x14ac:dyDescent="0.25">
      <c r="A24" s="4" t="s">
        <v>80</v>
      </c>
      <c r="B24" s="4" t="s">
        <v>44</v>
      </c>
      <c r="C24" s="4" t="s">
        <v>24</v>
      </c>
      <c r="D24" s="4" t="s">
        <v>20</v>
      </c>
      <c r="E24" s="4">
        <v>34</v>
      </c>
      <c r="F24" s="4" t="s">
        <v>81</v>
      </c>
      <c r="G24" s="4"/>
      <c r="H24" s="4">
        <v>111621</v>
      </c>
      <c r="I24" s="4" t="s">
        <v>22</v>
      </c>
      <c r="J24" s="4">
        <v>1</v>
      </c>
      <c r="K24" s="4"/>
      <c r="L24" s="4" t="str" cm="1">
        <f t="array" ref="L24">_xlfn.IFS(E24&gt;=40,"Senior",E24&gt;=30,"Menior",E24&lt;30,"Fresher")</f>
        <v>Menior</v>
      </c>
      <c r="M24" s="4" t="str" cm="1">
        <f t="array" ref="M24">_xlfn.IFS(J24&gt;4,"High rating",J24&gt;=3,"Medium rating",J24&lt;3,"Low rating")</f>
        <v>Low rating</v>
      </c>
      <c r="N24" s="4"/>
      <c r="O24">
        <v>2022</v>
      </c>
    </row>
    <row r="25" spans="1:15" x14ac:dyDescent="0.25">
      <c r="A25" s="4" t="s">
        <v>82</v>
      </c>
      <c r="B25" s="4" t="s">
        <v>83</v>
      </c>
      <c r="C25" s="4" t="s">
        <v>24</v>
      </c>
      <c r="D25" s="4" t="s">
        <v>20</v>
      </c>
      <c r="E25" s="4">
        <v>32</v>
      </c>
      <c r="F25" s="4" t="s">
        <v>84</v>
      </c>
      <c r="G25" s="4"/>
      <c r="H25" s="4">
        <v>105303</v>
      </c>
      <c r="I25" s="4" t="s">
        <v>22</v>
      </c>
      <c r="J25" s="4">
        <v>5</v>
      </c>
      <c r="K25" s="4"/>
      <c r="L25" s="4" t="str" cm="1">
        <f t="array" ref="L25">_xlfn.IFS(E25&gt;=40,"Senior",E25&gt;=30,"Menior",E25&lt;30,"Fresher")</f>
        <v>Menior</v>
      </c>
      <c r="M25" s="4" t="str" cm="1">
        <f t="array" ref="M25">_xlfn.IFS(J25&gt;4,"High rating",J25&gt;=3,"Medium rating",J25&lt;3,"Low rating")</f>
        <v>High rating</v>
      </c>
      <c r="N25" s="4"/>
      <c r="O25">
        <v>2021</v>
      </c>
    </row>
    <row r="26" spans="1:15" x14ac:dyDescent="0.25">
      <c r="A26" s="4" t="s">
        <v>85</v>
      </c>
      <c r="B26" s="4" t="s">
        <v>11</v>
      </c>
      <c r="C26" s="4" t="s">
        <v>24</v>
      </c>
      <c r="D26" s="4" t="s">
        <v>20</v>
      </c>
      <c r="E26" s="4">
        <v>42</v>
      </c>
      <c r="F26" s="4" t="s">
        <v>86</v>
      </c>
      <c r="G26" s="4"/>
      <c r="H26" s="4">
        <v>26792</v>
      </c>
      <c r="I26" s="4" t="s">
        <v>22</v>
      </c>
      <c r="J26" s="4">
        <v>4</v>
      </c>
      <c r="K26" s="4"/>
      <c r="L26" s="4" t="str" cm="1">
        <f t="array" ref="L26">_xlfn.IFS(E26&gt;=40,"Senior",E26&gt;=30,"Menior",E26&lt;30,"Fresher")</f>
        <v>Senior</v>
      </c>
      <c r="M26" s="4" t="str" cm="1">
        <f t="array" ref="M26">_xlfn.IFS(J26&gt;4,"High rating",J26&gt;=3,"Medium rating",J26&lt;3,"Low rating")</f>
        <v>Medium rating</v>
      </c>
      <c r="N26" s="4"/>
      <c r="O26">
        <v>2019</v>
      </c>
    </row>
    <row r="27" spans="1:15" x14ac:dyDescent="0.25">
      <c r="A27" s="4" t="s">
        <v>87</v>
      </c>
      <c r="B27" s="4" t="s">
        <v>40</v>
      </c>
      <c r="C27" s="4" t="s">
        <v>19</v>
      </c>
      <c r="D27" s="4" t="s">
        <v>13</v>
      </c>
      <c r="E27" s="4">
        <v>32</v>
      </c>
      <c r="F27" s="4" t="s">
        <v>88</v>
      </c>
      <c r="G27" s="4" t="s">
        <v>89</v>
      </c>
      <c r="H27" s="4">
        <v>104077</v>
      </c>
      <c r="I27" s="4" t="s">
        <v>16</v>
      </c>
      <c r="J27" s="4">
        <v>2</v>
      </c>
      <c r="K27" s="4">
        <f t="shared" si="0"/>
        <v>0.72328767123287674</v>
      </c>
      <c r="L27" s="4" t="str" cm="1">
        <f t="array" ref="L27">_xlfn.IFS(E27&gt;=40,"Senior",E27&gt;=30,"Menior",E27&lt;30,"Fresher")</f>
        <v>Menior</v>
      </c>
      <c r="M27" s="4" t="str" cm="1">
        <f t="array" ref="M27">_xlfn.IFS(J27&gt;4,"High rating",J27&gt;=3,"Medium rating",J27&lt;3,"Low rating")</f>
        <v>Low rating</v>
      </c>
      <c r="N27" s="4" t="str">
        <f t="shared" si="1"/>
        <v>yes</v>
      </c>
      <c r="O27">
        <v>2018</v>
      </c>
    </row>
    <row r="28" spans="1:15" x14ac:dyDescent="0.25">
      <c r="A28" s="4" t="s">
        <v>90</v>
      </c>
      <c r="B28" s="4" t="s">
        <v>33</v>
      </c>
      <c r="C28" s="4" t="s">
        <v>34</v>
      </c>
      <c r="D28" s="4" t="s">
        <v>13</v>
      </c>
      <c r="E28" s="4">
        <v>43</v>
      </c>
      <c r="F28" s="4" t="s">
        <v>91</v>
      </c>
      <c r="G28" s="4" t="s">
        <v>92</v>
      </c>
      <c r="H28" s="4">
        <v>114292</v>
      </c>
      <c r="I28" s="4" t="s">
        <v>16</v>
      </c>
      <c r="J28" s="4">
        <v>5</v>
      </c>
      <c r="K28" s="4">
        <f t="shared" si="0"/>
        <v>3.5945205479452054</v>
      </c>
      <c r="L28" s="4" t="str" cm="1">
        <f t="array" ref="L28">_xlfn.IFS(E28&gt;=40,"Senior",E28&gt;=30,"Menior",E28&lt;30,"Fresher")</f>
        <v>Senior</v>
      </c>
      <c r="M28" s="4" t="str" cm="1">
        <f t="array" ref="M28">_xlfn.IFS(J28&gt;4,"High rating",J28&gt;=3,"Medium rating",J28&lt;3,"Low rating")</f>
        <v>High rating</v>
      </c>
      <c r="N28" s="4" t="str">
        <f t="shared" si="1"/>
        <v>no</v>
      </c>
      <c r="O28">
        <v>2016</v>
      </c>
    </row>
    <row r="29" spans="1:15" x14ac:dyDescent="0.25">
      <c r="A29" s="4" t="s">
        <v>93</v>
      </c>
      <c r="B29" s="4" t="s">
        <v>37</v>
      </c>
      <c r="C29" s="4" t="s">
        <v>27</v>
      </c>
      <c r="D29" s="4" t="s">
        <v>20</v>
      </c>
      <c r="E29" s="4">
        <v>29</v>
      </c>
      <c r="F29" s="4" t="s">
        <v>94</v>
      </c>
      <c r="G29" s="4" t="s">
        <v>95</v>
      </c>
      <c r="H29" s="4">
        <v>40759</v>
      </c>
      <c r="I29" s="4" t="s">
        <v>16</v>
      </c>
      <c r="J29" s="4">
        <v>3</v>
      </c>
      <c r="K29" s="4">
        <f t="shared" si="0"/>
        <v>1.1315068493150684</v>
      </c>
      <c r="L29" s="4" t="str" cm="1">
        <f t="array" ref="L29">_xlfn.IFS(E29&gt;=40,"Senior",E29&gt;=30,"Menior",E29&lt;30,"Fresher")</f>
        <v>Fresher</v>
      </c>
      <c r="M29" s="4" t="str" cm="1">
        <f t="array" ref="M29">_xlfn.IFS(J29&gt;4,"High rating",J29&gt;=3,"Medium rating",J29&lt;3,"Low rating")</f>
        <v>Medium rating</v>
      </c>
      <c r="N29" s="4" t="str">
        <f t="shared" si="1"/>
        <v>yes</v>
      </c>
      <c r="O29">
        <v>2022</v>
      </c>
    </row>
    <row r="30" spans="1:15" x14ac:dyDescent="0.25">
      <c r="A30" s="4" t="s">
        <v>96</v>
      </c>
      <c r="B30" s="4" t="s">
        <v>33</v>
      </c>
      <c r="C30" s="4" t="s">
        <v>12</v>
      </c>
      <c r="D30" s="4" t="s">
        <v>20</v>
      </c>
      <c r="E30" s="4">
        <v>44</v>
      </c>
      <c r="F30" s="4" t="s">
        <v>97</v>
      </c>
      <c r="G30" s="4" t="s">
        <v>98</v>
      </c>
      <c r="H30" s="4">
        <v>31521</v>
      </c>
      <c r="I30" s="4" t="s">
        <v>16</v>
      </c>
      <c r="J30" s="4">
        <v>3</v>
      </c>
      <c r="K30" s="4">
        <f t="shared" si="0"/>
        <v>0.9178082191780822</v>
      </c>
      <c r="L30" s="4" t="str" cm="1">
        <f t="array" ref="L30">_xlfn.IFS(E30&gt;=40,"Senior",E30&gt;=30,"Menior",E30&lt;30,"Fresher")</f>
        <v>Senior</v>
      </c>
      <c r="M30" s="4" t="str" cm="1">
        <f t="array" ref="M30">_xlfn.IFS(J30&gt;4,"High rating",J30&gt;=3,"Medium rating",J30&lt;3,"Low rating")</f>
        <v>Medium rating</v>
      </c>
      <c r="N30" s="4" t="str">
        <f t="shared" si="1"/>
        <v>yes</v>
      </c>
      <c r="O30">
        <v>2018</v>
      </c>
    </row>
    <row r="31" spans="1:15" x14ac:dyDescent="0.25">
      <c r="A31" s="4" t="s">
        <v>99</v>
      </c>
      <c r="B31" s="4" t="s">
        <v>11</v>
      </c>
      <c r="C31" s="4" t="s">
        <v>34</v>
      </c>
      <c r="D31" s="4" t="s">
        <v>20</v>
      </c>
      <c r="E31" s="4">
        <v>33</v>
      </c>
      <c r="F31" s="4" t="s">
        <v>100</v>
      </c>
      <c r="G31" s="4" t="s">
        <v>101</v>
      </c>
      <c r="H31" s="4">
        <v>107269</v>
      </c>
      <c r="I31" s="4" t="s">
        <v>16</v>
      </c>
      <c r="J31" s="4">
        <v>5</v>
      </c>
      <c r="K31" s="4">
        <f t="shared" si="0"/>
        <v>1.2383561643835617</v>
      </c>
      <c r="L31" s="4" t="str" cm="1">
        <f t="array" ref="L31">_xlfn.IFS(E31&gt;=40,"Senior",E31&gt;=30,"Menior",E31&lt;30,"Fresher")</f>
        <v>Menior</v>
      </c>
      <c r="M31" s="4" t="str" cm="1">
        <f t="array" ref="M31">_xlfn.IFS(J31&gt;4,"High rating",J31&gt;=3,"Medium rating",J31&lt;3,"Low rating")</f>
        <v>High rating</v>
      </c>
      <c r="N31" s="4" t="str">
        <f t="shared" si="1"/>
        <v>yes</v>
      </c>
      <c r="O31">
        <v>2022</v>
      </c>
    </row>
    <row r="32" spans="1:15" x14ac:dyDescent="0.25">
      <c r="A32" s="4" t="s">
        <v>102</v>
      </c>
      <c r="B32" s="4" t="s">
        <v>73</v>
      </c>
      <c r="C32" s="4" t="s">
        <v>24</v>
      </c>
      <c r="D32" s="4" t="s">
        <v>13</v>
      </c>
      <c r="E32" s="4">
        <v>31</v>
      </c>
      <c r="F32" s="4" t="s">
        <v>103</v>
      </c>
      <c r="G32" s="4"/>
      <c r="H32" s="4">
        <v>61604</v>
      </c>
      <c r="I32" s="4" t="s">
        <v>22</v>
      </c>
      <c r="J32" s="4">
        <v>1</v>
      </c>
      <c r="K32" s="4"/>
      <c r="L32" s="4" t="str" cm="1">
        <f t="array" ref="L32">_xlfn.IFS(E32&gt;=40,"Senior",E32&gt;=30,"Menior",E32&lt;30,"Fresher")</f>
        <v>Menior</v>
      </c>
      <c r="M32" s="4" t="str" cm="1">
        <f t="array" ref="M32">_xlfn.IFS(J32&gt;4,"High rating",J32&gt;=3,"Medium rating",J32&lt;3,"Low rating")</f>
        <v>Low rating</v>
      </c>
      <c r="N32" s="4"/>
      <c r="O32">
        <v>2020</v>
      </c>
    </row>
    <row r="33" spans="1:15" x14ac:dyDescent="0.25">
      <c r="A33" s="4" t="s">
        <v>104</v>
      </c>
      <c r="B33" s="4" t="s">
        <v>73</v>
      </c>
      <c r="C33" s="4" t="s">
        <v>27</v>
      </c>
      <c r="D33" s="4" t="s">
        <v>20</v>
      </c>
      <c r="E33" s="4">
        <v>50</v>
      </c>
      <c r="F33" s="4" t="s">
        <v>105</v>
      </c>
      <c r="G33" s="4" t="s">
        <v>106</v>
      </c>
      <c r="H33" s="4">
        <v>37265</v>
      </c>
      <c r="I33" s="4" t="s">
        <v>16</v>
      </c>
      <c r="J33" s="4">
        <v>2</v>
      </c>
      <c r="K33" s="4">
        <f t="shared" si="0"/>
        <v>0.79452054794520544</v>
      </c>
      <c r="L33" s="4" t="str" cm="1">
        <f t="array" ref="L33">_xlfn.IFS(E33&gt;=40,"Senior",E33&gt;=30,"Menior",E33&lt;30,"Fresher")</f>
        <v>Senior</v>
      </c>
      <c r="M33" s="4" t="str" cm="1">
        <f t="array" ref="M33">_xlfn.IFS(J33&gt;4,"High rating",J33&gt;=3,"Medium rating",J33&lt;3,"Low rating")</f>
        <v>Low rating</v>
      </c>
      <c r="N33" s="4" t="str">
        <f t="shared" si="1"/>
        <v>yes</v>
      </c>
      <c r="O33">
        <v>2016</v>
      </c>
    </row>
    <row r="34" spans="1:15" x14ac:dyDescent="0.25">
      <c r="A34" s="4" t="s">
        <v>107</v>
      </c>
      <c r="B34" s="4" t="s">
        <v>18</v>
      </c>
      <c r="C34" s="4" t="s">
        <v>24</v>
      </c>
      <c r="D34" s="4" t="s">
        <v>20</v>
      </c>
      <c r="E34" s="4">
        <v>48</v>
      </c>
      <c r="F34" s="4" t="s">
        <v>108</v>
      </c>
      <c r="G34" s="4" t="s">
        <v>109</v>
      </c>
      <c r="H34" s="4">
        <v>49646</v>
      </c>
      <c r="I34" s="4" t="s">
        <v>16</v>
      </c>
      <c r="J34" s="4">
        <v>2</v>
      </c>
      <c r="K34" s="4">
        <f t="shared" si="0"/>
        <v>4.087671232876712</v>
      </c>
      <c r="L34" s="4" t="str" cm="1">
        <f t="array" ref="L34">_xlfn.IFS(E34&gt;=40,"Senior",E34&gt;=30,"Menior",E34&lt;30,"Fresher")</f>
        <v>Senior</v>
      </c>
      <c r="M34" s="4" t="str" cm="1">
        <f t="array" ref="M34">_xlfn.IFS(J34&gt;4,"High rating",J34&gt;=3,"Medium rating",J34&lt;3,"Low rating")</f>
        <v>Low rating</v>
      </c>
      <c r="N34" s="4" t="str">
        <f t="shared" si="1"/>
        <v>no</v>
      </c>
      <c r="O34">
        <v>2021</v>
      </c>
    </row>
    <row r="35" spans="1:15" x14ac:dyDescent="0.25">
      <c r="A35" s="4" t="s">
        <v>110</v>
      </c>
      <c r="B35" s="4" t="s">
        <v>73</v>
      </c>
      <c r="C35" s="4" t="s">
        <v>12</v>
      </c>
      <c r="D35" s="4" t="s">
        <v>13</v>
      </c>
      <c r="E35" s="4">
        <v>45</v>
      </c>
      <c r="F35" s="4" t="s">
        <v>111</v>
      </c>
      <c r="G35" s="4"/>
      <c r="H35" s="4">
        <v>119547</v>
      </c>
      <c r="I35" s="4" t="s">
        <v>22</v>
      </c>
      <c r="J35" s="4">
        <v>3</v>
      </c>
      <c r="K35" s="4"/>
      <c r="L35" s="4" t="str" cm="1">
        <f t="array" ref="L35">_xlfn.IFS(E35&gt;=40,"Senior",E35&gt;=30,"Menior",E35&lt;30,"Fresher")</f>
        <v>Senior</v>
      </c>
      <c r="M35" s="4" t="str" cm="1">
        <f t="array" ref="M35">_xlfn.IFS(J35&gt;4,"High rating",J35&gt;=3,"Medium rating",J35&lt;3,"Low rating")</f>
        <v>Medium rating</v>
      </c>
      <c r="N35" s="4"/>
      <c r="O35">
        <v>2016</v>
      </c>
    </row>
    <row r="36" spans="1:15" x14ac:dyDescent="0.25">
      <c r="A36" s="4" t="s">
        <v>112</v>
      </c>
      <c r="B36" s="4" t="s">
        <v>73</v>
      </c>
      <c r="C36" s="4" t="s">
        <v>34</v>
      </c>
      <c r="D36" s="4" t="s">
        <v>20</v>
      </c>
      <c r="E36" s="4">
        <v>23</v>
      </c>
      <c r="F36" s="4" t="s">
        <v>113</v>
      </c>
      <c r="G36" s="4"/>
      <c r="H36" s="4">
        <v>105756</v>
      </c>
      <c r="I36" s="4" t="s">
        <v>22</v>
      </c>
      <c r="J36" s="4">
        <v>5</v>
      </c>
      <c r="K36" s="4"/>
      <c r="L36" s="4" t="str" cm="1">
        <f t="array" ref="L36">_xlfn.IFS(E36&gt;=40,"Senior",E36&gt;=30,"Menior",E36&lt;30,"Fresher")</f>
        <v>Fresher</v>
      </c>
      <c r="M36" s="4" t="str" cm="1">
        <f t="array" ref="M36">_xlfn.IFS(J36&gt;4,"High rating",J36&gt;=3,"Medium rating",J36&lt;3,"Low rating")</f>
        <v>High rating</v>
      </c>
      <c r="N36" s="4"/>
      <c r="O36">
        <v>2020</v>
      </c>
    </row>
    <row r="37" spans="1:15" x14ac:dyDescent="0.25">
      <c r="A37" s="4" t="s">
        <v>114</v>
      </c>
      <c r="B37" s="4" t="s">
        <v>73</v>
      </c>
      <c r="C37" s="4" t="s">
        <v>27</v>
      </c>
      <c r="D37" s="4" t="s">
        <v>20</v>
      </c>
      <c r="E37" s="4">
        <v>27</v>
      </c>
      <c r="F37" s="4" t="s">
        <v>115</v>
      </c>
      <c r="G37" s="4" t="s">
        <v>116</v>
      </c>
      <c r="H37" s="4">
        <v>112463</v>
      </c>
      <c r="I37" s="4" t="s">
        <v>16</v>
      </c>
      <c r="J37" s="4">
        <v>1</v>
      </c>
      <c r="K37" s="4">
        <f t="shared" si="0"/>
        <v>2.8602739726027395</v>
      </c>
      <c r="L37" s="4" t="str" cm="1">
        <f t="array" ref="L37">_xlfn.IFS(E37&gt;=40,"Senior",E37&gt;=30,"Menior",E37&lt;30,"Fresher")</f>
        <v>Fresher</v>
      </c>
      <c r="M37" s="4" t="str" cm="1">
        <f t="array" ref="M37">_xlfn.IFS(J37&gt;4,"High rating",J37&gt;=3,"Medium rating",J37&lt;3,"Low rating")</f>
        <v>Low rating</v>
      </c>
      <c r="N37" s="4" t="str">
        <f t="shared" si="1"/>
        <v>no</v>
      </c>
      <c r="O37">
        <v>2019</v>
      </c>
    </row>
    <row r="38" spans="1:15" x14ac:dyDescent="0.25">
      <c r="A38" s="4" t="s">
        <v>117</v>
      </c>
      <c r="B38" s="4" t="s">
        <v>58</v>
      </c>
      <c r="C38" s="4" t="s">
        <v>27</v>
      </c>
      <c r="D38" s="4" t="s">
        <v>13</v>
      </c>
      <c r="E38" s="4">
        <v>33</v>
      </c>
      <c r="F38" s="4" t="s">
        <v>118</v>
      </c>
      <c r="G38" s="4"/>
      <c r="H38" s="4">
        <v>84623</v>
      </c>
      <c r="I38" s="4" t="s">
        <v>22</v>
      </c>
      <c r="J38" s="4">
        <v>5</v>
      </c>
      <c r="K38" s="4"/>
      <c r="L38" s="4" t="str" cm="1">
        <f t="array" ref="L38">_xlfn.IFS(E38&gt;=40,"Senior",E38&gt;=30,"Menior",E38&lt;30,"Fresher")</f>
        <v>Menior</v>
      </c>
      <c r="M38" s="4" t="str" cm="1">
        <f t="array" ref="M38">_xlfn.IFS(J38&gt;4,"High rating",J38&gt;=3,"Medium rating",J38&lt;3,"Low rating")</f>
        <v>High rating</v>
      </c>
      <c r="N38" s="4"/>
      <c r="O38">
        <v>2021</v>
      </c>
    </row>
    <row r="39" spans="1:15" x14ac:dyDescent="0.25">
      <c r="A39" s="4" t="s">
        <v>119</v>
      </c>
      <c r="B39" s="4" t="s">
        <v>33</v>
      </c>
      <c r="C39" s="4" t="s">
        <v>27</v>
      </c>
      <c r="D39" s="4" t="s">
        <v>20</v>
      </c>
      <c r="E39" s="4">
        <v>44</v>
      </c>
      <c r="F39" s="4" t="s">
        <v>120</v>
      </c>
      <c r="G39" s="4"/>
      <c r="H39" s="4">
        <v>30180</v>
      </c>
      <c r="I39" s="4" t="s">
        <v>22</v>
      </c>
      <c r="J39" s="4">
        <v>2</v>
      </c>
      <c r="K39" s="4"/>
      <c r="L39" s="4" t="str" cm="1">
        <f t="array" ref="L39">_xlfn.IFS(E39&gt;=40,"Senior",E39&gt;=30,"Menior",E39&lt;30,"Fresher")</f>
        <v>Senior</v>
      </c>
      <c r="M39" s="4" t="str" cm="1">
        <f t="array" ref="M39">_xlfn.IFS(J39&gt;4,"High rating",J39&gt;=3,"Medium rating",J39&lt;3,"Low rating")</f>
        <v>Low rating</v>
      </c>
      <c r="N39" s="4"/>
      <c r="O39">
        <v>2015</v>
      </c>
    </row>
    <row r="40" spans="1:15" x14ac:dyDescent="0.25">
      <c r="A40" s="4" t="s">
        <v>121</v>
      </c>
      <c r="B40" s="4" t="s">
        <v>44</v>
      </c>
      <c r="C40" s="4" t="s">
        <v>12</v>
      </c>
      <c r="D40" s="4" t="s">
        <v>20</v>
      </c>
      <c r="E40" s="4">
        <v>46</v>
      </c>
      <c r="F40" s="4" t="s">
        <v>122</v>
      </c>
      <c r="G40" s="4"/>
      <c r="H40" s="4">
        <v>119216</v>
      </c>
      <c r="I40" s="4" t="s">
        <v>22</v>
      </c>
      <c r="J40" s="4">
        <v>2</v>
      </c>
      <c r="K40" s="4"/>
      <c r="L40" s="4" t="str" cm="1">
        <f t="array" ref="L40">_xlfn.IFS(E40&gt;=40,"Senior",E40&gt;=30,"Menior",E40&lt;30,"Fresher")</f>
        <v>Senior</v>
      </c>
      <c r="M40" s="4" t="str" cm="1">
        <f t="array" ref="M40">_xlfn.IFS(J40&gt;4,"High rating",J40&gt;=3,"Medium rating",J40&lt;3,"Low rating")</f>
        <v>Low rating</v>
      </c>
      <c r="N40" s="4"/>
      <c r="O40">
        <v>2017</v>
      </c>
    </row>
    <row r="41" spans="1:15" x14ac:dyDescent="0.25">
      <c r="A41" s="4" t="s">
        <v>123</v>
      </c>
      <c r="B41" s="4" t="s">
        <v>44</v>
      </c>
      <c r="C41" s="4" t="s">
        <v>24</v>
      </c>
      <c r="D41" s="4" t="s">
        <v>20</v>
      </c>
      <c r="E41" s="4">
        <v>47</v>
      </c>
      <c r="F41" s="4" t="s">
        <v>124</v>
      </c>
      <c r="G41" s="4"/>
      <c r="H41" s="4">
        <v>30812</v>
      </c>
      <c r="I41" s="4" t="s">
        <v>22</v>
      </c>
      <c r="J41" s="4">
        <v>2</v>
      </c>
      <c r="K41" s="4"/>
      <c r="L41" s="4" t="str" cm="1">
        <f t="array" ref="L41">_xlfn.IFS(E41&gt;=40,"Senior",E41&gt;=30,"Menior",E41&lt;30,"Fresher")</f>
        <v>Senior</v>
      </c>
      <c r="M41" s="4" t="str" cm="1">
        <f t="array" ref="M41">_xlfn.IFS(J41&gt;4,"High rating",J41&gt;=3,"Medium rating",J41&lt;3,"Low rating")</f>
        <v>Low rating</v>
      </c>
      <c r="N41" s="4"/>
      <c r="O41">
        <v>2016</v>
      </c>
    </row>
    <row r="42" spans="1:15" x14ac:dyDescent="0.25">
      <c r="A42" s="4" t="s">
        <v>125</v>
      </c>
      <c r="B42" s="4" t="s">
        <v>40</v>
      </c>
      <c r="C42" s="4" t="s">
        <v>24</v>
      </c>
      <c r="D42" s="4" t="s">
        <v>20</v>
      </c>
      <c r="E42" s="4">
        <v>33</v>
      </c>
      <c r="F42" s="4" t="s">
        <v>126</v>
      </c>
      <c r="G42" s="4" t="s">
        <v>127</v>
      </c>
      <c r="H42" s="4">
        <v>26482</v>
      </c>
      <c r="I42" s="4" t="s">
        <v>16</v>
      </c>
      <c r="J42" s="4">
        <v>1</v>
      </c>
      <c r="K42" s="4">
        <f t="shared" si="0"/>
        <v>3.3698630136986303</v>
      </c>
      <c r="L42" s="4" t="str" cm="1">
        <f t="array" ref="L42">_xlfn.IFS(E42&gt;=40,"Senior",E42&gt;=30,"Menior",E42&lt;30,"Fresher")</f>
        <v>Menior</v>
      </c>
      <c r="M42" s="4" t="str" cm="1">
        <f t="array" ref="M42">_xlfn.IFS(J42&gt;4,"High rating",J42&gt;=3,"Medium rating",J42&lt;3,"Low rating")</f>
        <v>Low rating</v>
      </c>
      <c r="N42" s="4" t="str">
        <f t="shared" si="1"/>
        <v>no</v>
      </c>
      <c r="O42">
        <v>2018</v>
      </c>
    </row>
    <row r="43" spans="1:15" x14ac:dyDescent="0.25">
      <c r="A43" s="4" t="s">
        <v>128</v>
      </c>
      <c r="B43" s="4" t="s">
        <v>73</v>
      </c>
      <c r="C43" s="4" t="s">
        <v>12</v>
      </c>
      <c r="D43" s="4" t="s">
        <v>13</v>
      </c>
      <c r="E43" s="4">
        <v>38</v>
      </c>
      <c r="F43" s="4" t="s">
        <v>129</v>
      </c>
      <c r="G43" s="4" t="s">
        <v>130</v>
      </c>
      <c r="H43" s="4">
        <v>49555</v>
      </c>
      <c r="I43" s="4" t="s">
        <v>16</v>
      </c>
      <c r="J43" s="4">
        <v>4</v>
      </c>
      <c r="K43" s="4">
        <f t="shared" si="0"/>
        <v>3.9589041095890409</v>
      </c>
      <c r="L43" s="4" t="str" cm="1">
        <f t="array" ref="L43">_xlfn.IFS(E43&gt;=40,"Senior",E43&gt;=30,"Menior",E43&lt;30,"Fresher")</f>
        <v>Menior</v>
      </c>
      <c r="M43" s="4" t="str" cm="1">
        <f t="array" ref="M43">_xlfn.IFS(J43&gt;4,"High rating",J43&gt;=3,"Medium rating",J43&lt;3,"Low rating")</f>
        <v>Medium rating</v>
      </c>
      <c r="N43" s="4" t="str">
        <f t="shared" si="1"/>
        <v>no</v>
      </c>
      <c r="O43">
        <v>2017</v>
      </c>
    </row>
    <row r="44" spans="1:15" x14ac:dyDescent="0.25">
      <c r="A44" s="4" t="s">
        <v>131</v>
      </c>
      <c r="B44" s="4" t="s">
        <v>11</v>
      </c>
      <c r="C44" s="4" t="s">
        <v>27</v>
      </c>
      <c r="D44" s="4" t="s">
        <v>20</v>
      </c>
      <c r="E44" s="4">
        <v>35</v>
      </c>
      <c r="F44" s="4" t="s">
        <v>132</v>
      </c>
      <c r="G44" s="4" t="s">
        <v>133</v>
      </c>
      <c r="H44" s="4">
        <v>94252</v>
      </c>
      <c r="I44" s="4" t="s">
        <v>16</v>
      </c>
      <c r="J44" s="4">
        <v>4</v>
      </c>
      <c r="K44" s="4">
        <f t="shared" si="0"/>
        <v>3.2630136986301368</v>
      </c>
      <c r="L44" s="4" t="str" cm="1">
        <f t="array" ref="L44">_xlfn.IFS(E44&gt;=40,"Senior",E44&gt;=30,"Menior",E44&lt;30,"Fresher")</f>
        <v>Menior</v>
      </c>
      <c r="M44" s="4" t="str" cm="1">
        <f t="array" ref="M44">_xlfn.IFS(J44&gt;4,"High rating",J44&gt;=3,"Medium rating",J44&lt;3,"Low rating")</f>
        <v>Medium rating</v>
      </c>
      <c r="N44" s="4" t="str">
        <f t="shared" si="1"/>
        <v>no</v>
      </c>
      <c r="O44">
        <v>2021</v>
      </c>
    </row>
    <row r="45" spans="1:15" x14ac:dyDescent="0.25">
      <c r="A45" s="4" t="s">
        <v>134</v>
      </c>
      <c r="B45" s="4" t="s">
        <v>37</v>
      </c>
      <c r="C45" s="4" t="s">
        <v>12</v>
      </c>
      <c r="D45" s="4" t="s">
        <v>20</v>
      </c>
      <c r="E45" s="4">
        <v>43</v>
      </c>
      <c r="F45" s="4" t="s">
        <v>135</v>
      </c>
      <c r="G45" s="4"/>
      <c r="H45" s="4">
        <v>106408</v>
      </c>
      <c r="I45" s="4" t="s">
        <v>22</v>
      </c>
      <c r="J45" s="4">
        <v>3</v>
      </c>
      <c r="K45" s="4"/>
      <c r="L45" s="4" t="str" cm="1">
        <f t="array" ref="L45">_xlfn.IFS(E45&gt;=40,"Senior",E45&gt;=30,"Menior",E45&lt;30,"Fresher")</f>
        <v>Senior</v>
      </c>
      <c r="M45" s="4" t="str" cm="1">
        <f t="array" ref="M45">_xlfn.IFS(J45&gt;4,"High rating",J45&gt;=3,"Medium rating",J45&lt;3,"Low rating")</f>
        <v>Medium rating</v>
      </c>
      <c r="N45" s="4"/>
      <c r="O45">
        <v>2015</v>
      </c>
    </row>
    <row r="46" spans="1:15" x14ac:dyDescent="0.25">
      <c r="A46" s="4" t="s">
        <v>136</v>
      </c>
      <c r="B46" s="4" t="s">
        <v>18</v>
      </c>
      <c r="C46" s="4" t="s">
        <v>12</v>
      </c>
      <c r="D46" s="4" t="s">
        <v>20</v>
      </c>
      <c r="E46" s="4">
        <v>29</v>
      </c>
      <c r="F46" s="4" t="s">
        <v>137</v>
      </c>
      <c r="G46" s="4"/>
      <c r="H46" s="4">
        <v>81636</v>
      </c>
      <c r="I46" s="4" t="s">
        <v>22</v>
      </c>
      <c r="J46" s="4">
        <v>4</v>
      </c>
      <c r="K46" s="4"/>
      <c r="L46" s="4" t="str" cm="1">
        <f t="array" ref="L46">_xlfn.IFS(E46&gt;=40,"Senior",E46&gt;=30,"Menior",E46&lt;30,"Fresher")</f>
        <v>Fresher</v>
      </c>
      <c r="M46" s="4" t="str" cm="1">
        <f t="array" ref="M46">_xlfn.IFS(J46&gt;4,"High rating",J46&gt;=3,"Medium rating",J46&lt;3,"Low rating")</f>
        <v>Medium rating</v>
      </c>
      <c r="N46" s="4"/>
      <c r="O46">
        <v>2020</v>
      </c>
    </row>
    <row r="47" spans="1:15" x14ac:dyDescent="0.25">
      <c r="A47" s="4" t="s">
        <v>138</v>
      </c>
      <c r="B47" s="4" t="s">
        <v>52</v>
      </c>
      <c r="C47" s="4" t="s">
        <v>19</v>
      </c>
      <c r="D47" s="4" t="s">
        <v>13</v>
      </c>
      <c r="E47" s="4">
        <v>46</v>
      </c>
      <c r="F47" s="4" t="s">
        <v>139</v>
      </c>
      <c r="G47" s="4"/>
      <c r="H47" s="4">
        <v>105125</v>
      </c>
      <c r="I47" s="4" t="s">
        <v>22</v>
      </c>
      <c r="J47" s="4">
        <v>5</v>
      </c>
      <c r="K47" s="4"/>
      <c r="L47" s="4" t="str" cm="1">
        <f t="array" ref="L47">_xlfn.IFS(E47&gt;=40,"Senior",E47&gt;=30,"Menior",E47&lt;30,"Fresher")</f>
        <v>Senior</v>
      </c>
      <c r="M47" s="4" t="str" cm="1">
        <f t="array" ref="M47">_xlfn.IFS(J47&gt;4,"High rating",J47&gt;=3,"Medium rating",J47&lt;3,"Low rating")</f>
        <v>High rating</v>
      </c>
      <c r="N47" s="4"/>
      <c r="O47">
        <v>2016</v>
      </c>
    </row>
    <row r="48" spans="1:15" x14ac:dyDescent="0.25">
      <c r="A48" s="4" t="s">
        <v>140</v>
      </c>
      <c r="B48" s="4" t="s">
        <v>58</v>
      </c>
      <c r="C48" s="4" t="s">
        <v>27</v>
      </c>
      <c r="D48" s="4" t="s">
        <v>20</v>
      </c>
      <c r="E48" s="4">
        <v>41</v>
      </c>
      <c r="F48" s="4" t="s">
        <v>141</v>
      </c>
      <c r="G48" s="4"/>
      <c r="H48" s="4">
        <v>107233</v>
      </c>
      <c r="I48" s="4" t="s">
        <v>22</v>
      </c>
      <c r="J48" s="4">
        <v>2</v>
      </c>
      <c r="K48" s="4"/>
      <c r="L48" s="4" t="str" cm="1">
        <f t="array" ref="L48">_xlfn.IFS(E48&gt;=40,"Senior",E48&gt;=30,"Menior",E48&lt;30,"Fresher")</f>
        <v>Senior</v>
      </c>
      <c r="M48" s="4" t="str" cm="1">
        <f t="array" ref="M48">_xlfn.IFS(J48&gt;4,"High rating",J48&gt;=3,"Medium rating",J48&lt;3,"Low rating")</f>
        <v>Low rating</v>
      </c>
      <c r="N48" s="4"/>
      <c r="O48">
        <v>2020</v>
      </c>
    </row>
    <row r="49" spans="1:15" x14ac:dyDescent="0.25">
      <c r="A49" s="4" t="s">
        <v>142</v>
      </c>
      <c r="B49" s="4" t="s">
        <v>33</v>
      </c>
      <c r="C49" s="4" t="s">
        <v>19</v>
      </c>
      <c r="D49" s="4" t="s">
        <v>20</v>
      </c>
      <c r="E49" s="4">
        <v>38</v>
      </c>
      <c r="F49" s="4" t="s">
        <v>143</v>
      </c>
      <c r="G49" s="4" t="s">
        <v>144</v>
      </c>
      <c r="H49" s="4">
        <v>65116</v>
      </c>
      <c r="I49" s="4" t="s">
        <v>16</v>
      </c>
      <c r="J49" s="4">
        <v>2</v>
      </c>
      <c r="K49" s="4">
        <f t="shared" si="0"/>
        <v>3.9643835616438357</v>
      </c>
      <c r="L49" s="4" t="str" cm="1">
        <f t="array" ref="L49">_xlfn.IFS(E49&gt;=40,"Senior",E49&gt;=30,"Menior",E49&lt;30,"Fresher")</f>
        <v>Menior</v>
      </c>
      <c r="M49" s="4" t="str" cm="1">
        <f t="array" ref="M49">_xlfn.IFS(J49&gt;4,"High rating",J49&gt;=3,"Medium rating",J49&lt;3,"Low rating")</f>
        <v>Low rating</v>
      </c>
      <c r="N49" s="4" t="str">
        <f t="shared" si="1"/>
        <v>no</v>
      </c>
      <c r="O49">
        <v>2021</v>
      </c>
    </row>
    <row r="50" spans="1:15" x14ac:dyDescent="0.25">
      <c r="A50" s="4" t="s">
        <v>145</v>
      </c>
      <c r="B50" s="4" t="s">
        <v>40</v>
      </c>
      <c r="C50" s="4" t="s">
        <v>34</v>
      </c>
      <c r="D50" s="4" t="s">
        <v>13</v>
      </c>
      <c r="E50" s="4">
        <v>31</v>
      </c>
      <c r="F50" s="4" t="s">
        <v>146</v>
      </c>
      <c r="G50" s="4"/>
      <c r="H50" s="4">
        <v>61891</v>
      </c>
      <c r="I50" s="4" t="s">
        <v>22</v>
      </c>
      <c r="J50" s="4">
        <v>4</v>
      </c>
      <c r="K50" s="4"/>
      <c r="L50" s="4" t="str" cm="1">
        <f t="array" ref="L50">_xlfn.IFS(E50&gt;=40,"Senior",E50&gt;=30,"Menior",E50&lt;30,"Fresher")</f>
        <v>Menior</v>
      </c>
      <c r="M50" s="4" t="str" cm="1">
        <f t="array" ref="M50">_xlfn.IFS(J50&gt;4,"High rating",J50&gt;=3,"Medium rating",J50&lt;3,"Low rating")</f>
        <v>Medium rating</v>
      </c>
      <c r="N50" s="4"/>
      <c r="O50">
        <v>2020</v>
      </c>
    </row>
    <row r="51" spans="1:15" x14ac:dyDescent="0.25">
      <c r="A51" s="4" t="s">
        <v>147</v>
      </c>
      <c r="B51" s="4" t="s">
        <v>73</v>
      </c>
      <c r="C51" s="4" t="s">
        <v>34</v>
      </c>
      <c r="D51" s="4" t="s">
        <v>13</v>
      </c>
      <c r="E51" s="4">
        <v>49</v>
      </c>
      <c r="F51" s="4" t="s">
        <v>148</v>
      </c>
      <c r="G51" s="4" t="s">
        <v>149</v>
      </c>
      <c r="H51" s="4">
        <v>96032</v>
      </c>
      <c r="I51" s="4" t="s">
        <v>16</v>
      </c>
      <c r="J51" s="4">
        <v>4</v>
      </c>
      <c r="K51" s="4">
        <f t="shared" si="0"/>
        <v>2.0876712328767124</v>
      </c>
      <c r="L51" s="4" t="str" cm="1">
        <f t="array" ref="L51">_xlfn.IFS(E51&gt;=40,"Senior",E51&gt;=30,"Menior",E51&lt;30,"Fresher")</f>
        <v>Senior</v>
      </c>
      <c r="M51" s="4" t="str" cm="1">
        <f t="array" ref="M51">_xlfn.IFS(J51&gt;4,"High rating",J51&gt;=3,"Medium rating",J51&lt;3,"Low rating")</f>
        <v>Medium rating</v>
      </c>
      <c r="N51" s="4" t="str">
        <f t="shared" si="1"/>
        <v>no</v>
      </c>
      <c r="O51">
        <v>2020</v>
      </c>
    </row>
    <row r="52" spans="1:15" x14ac:dyDescent="0.25">
      <c r="A52" s="4" t="s">
        <v>150</v>
      </c>
      <c r="B52" s="4" t="s">
        <v>52</v>
      </c>
      <c r="C52" s="4" t="s">
        <v>27</v>
      </c>
      <c r="D52" s="4" t="s">
        <v>20</v>
      </c>
      <c r="E52" s="4">
        <v>50</v>
      </c>
      <c r="F52" s="4" t="s">
        <v>151</v>
      </c>
      <c r="G52" s="4" t="s">
        <v>152</v>
      </c>
      <c r="H52" s="4">
        <v>83689</v>
      </c>
      <c r="I52" s="4" t="s">
        <v>16</v>
      </c>
      <c r="J52" s="4">
        <v>2</v>
      </c>
      <c r="K52" s="4">
        <f t="shared" si="0"/>
        <v>0.18356164383561643</v>
      </c>
      <c r="L52" s="4" t="str" cm="1">
        <f t="array" ref="L52">_xlfn.IFS(E52&gt;=40,"Senior",E52&gt;=30,"Menior",E52&lt;30,"Fresher")</f>
        <v>Senior</v>
      </c>
      <c r="M52" s="4" t="str" cm="1">
        <f t="array" ref="M52">_xlfn.IFS(J52&gt;4,"High rating",J52&gt;=3,"Medium rating",J52&lt;3,"Low rating")</f>
        <v>Low rating</v>
      </c>
      <c r="N52" s="4" t="str">
        <f t="shared" si="1"/>
        <v>yes</v>
      </c>
      <c r="O52">
        <v>2022</v>
      </c>
    </row>
    <row r="53" spans="1:15" x14ac:dyDescent="0.25">
      <c r="A53" s="4" t="s">
        <v>153</v>
      </c>
      <c r="B53" s="4" t="s">
        <v>37</v>
      </c>
      <c r="C53" s="4" t="s">
        <v>12</v>
      </c>
      <c r="D53" s="4" t="s">
        <v>20</v>
      </c>
      <c r="E53" s="4">
        <v>47</v>
      </c>
      <c r="F53" s="4" t="s">
        <v>154</v>
      </c>
      <c r="G53" s="4" t="s">
        <v>155</v>
      </c>
      <c r="H53" s="4">
        <v>118478</v>
      </c>
      <c r="I53" s="4" t="s">
        <v>16</v>
      </c>
      <c r="J53" s="4">
        <v>3</v>
      </c>
      <c r="K53" s="4">
        <f t="shared" si="0"/>
        <v>2.0657534246575344</v>
      </c>
      <c r="L53" s="4" t="str" cm="1">
        <f t="array" ref="L53">_xlfn.IFS(E53&gt;=40,"Senior",E53&gt;=30,"Menior",E53&lt;30,"Fresher")</f>
        <v>Senior</v>
      </c>
      <c r="M53" s="4" t="str" cm="1">
        <f t="array" ref="M53">_xlfn.IFS(J53&gt;4,"High rating",J53&gt;=3,"Medium rating",J53&lt;3,"Low rating")</f>
        <v>Medium rating</v>
      </c>
      <c r="N53" s="4" t="str">
        <f t="shared" si="1"/>
        <v>no</v>
      </c>
      <c r="O53">
        <v>2017</v>
      </c>
    </row>
    <row r="54" spans="1:15" x14ac:dyDescent="0.25">
      <c r="A54" s="4" t="s">
        <v>156</v>
      </c>
      <c r="B54" s="4" t="s">
        <v>44</v>
      </c>
      <c r="C54" s="4" t="s">
        <v>19</v>
      </c>
      <c r="D54" s="4" t="s">
        <v>13</v>
      </c>
      <c r="E54" s="4">
        <v>47</v>
      </c>
      <c r="F54" s="4" t="s">
        <v>157</v>
      </c>
      <c r="G54" s="4"/>
      <c r="H54" s="4">
        <v>55648</v>
      </c>
      <c r="I54" s="4" t="s">
        <v>22</v>
      </c>
      <c r="J54" s="4">
        <v>1</v>
      </c>
      <c r="K54" s="4"/>
      <c r="L54" s="4" t="str" cm="1">
        <f t="array" ref="L54">_xlfn.IFS(E54&gt;=40,"Senior",E54&gt;=30,"Menior",E54&lt;30,"Fresher")</f>
        <v>Senior</v>
      </c>
      <c r="M54" s="4" t="str" cm="1">
        <f t="array" ref="M54">_xlfn.IFS(J54&gt;4,"High rating",J54&gt;=3,"Medium rating",J54&lt;3,"Low rating")</f>
        <v>Low rating</v>
      </c>
      <c r="N54" s="4"/>
      <c r="O54">
        <v>2015</v>
      </c>
    </row>
    <row r="55" spans="1:15" x14ac:dyDescent="0.25">
      <c r="A55" s="4" t="s">
        <v>158</v>
      </c>
      <c r="B55" s="4" t="s">
        <v>33</v>
      </c>
      <c r="C55" s="4" t="s">
        <v>12</v>
      </c>
      <c r="D55" s="4" t="s">
        <v>20</v>
      </c>
      <c r="E55" s="4">
        <v>34</v>
      </c>
      <c r="F55" s="4" t="s">
        <v>159</v>
      </c>
      <c r="G55" s="4"/>
      <c r="H55" s="4">
        <v>77673</v>
      </c>
      <c r="I55" s="4" t="s">
        <v>22</v>
      </c>
      <c r="J55" s="4">
        <v>5</v>
      </c>
      <c r="K55" s="4"/>
      <c r="L55" s="4" t="str" cm="1">
        <f t="array" ref="L55">_xlfn.IFS(E55&gt;=40,"Senior",E55&gt;=30,"Menior",E55&lt;30,"Fresher")</f>
        <v>Menior</v>
      </c>
      <c r="M55" s="4" t="str" cm="1">
        <f t="array" ref="M55">_xlfn.IFS(J55&gt;4,"High rating",J55&gt;=3,"Medium rating",J55&lt;3,"Low rating")</f>
        <v>High rating</v>
      </c>
      <c r="N55" s="4"/>
      <c r="O55">
        <v>2018</v>
      </c>
    </row>
    <row r="56" spans="1:15" x14ac:dyDescent="0.25">
      <c r="A56" s="4" t="s">
        <v>160</v>
      </c>
      <c r="B56" s="4" t="s">
        <v>33</v>
      </c>
      <c r="C56" s="4" t="s">
        <v>34</v>
      </c>
      <c r="D56" s="4" t="s">
        <v>20</v>
      </c>
      <c r="E56" s="4">
        <v>31</v>
      </c>
      <c r="F56" s="4" t="s">
        <v>161</v>
      </c>
      <c r="G56" s="4" t="s">
        <v>162</v>
      </c>
      <c r="H56" s="4">
        <v>25816</v>
      </c>
      <c r="I56" s="4" t="s">
        <v>16</v>
      </c>
      <c r="J56" s="4">
        <v>2</v>
      </c>
      <c r="K56" s="4">
        <f t="shared" si="0"/>
        <v>2.1643835616438358</v>
      </c>
      <c r="L56" s="4" t="str" cm="1">
        <f t="array" ref="L56">_xlfn.IFS(E56&gt;=40,"Senior",E56&gt;=30,"Menior",E56&lt;30,"Fresher")</f>
        <v>Menior</v>
      </c>
      <c r="M56" s="4" t="str" cm="1">
        <f t="array" ref="M56">_xlfn.IFS(J56&gt;4,"High rating",J56&gt;=3,"Medium rating",J56&lt;3,"Low rating")</f>
        <v>Low rating</v>
      </c>
      <c r="N56" s="4" t="str">
        <f t="shared" si="1"/>
        <v>no</v>
      </c>
      <c r="O56">
        <v>2020</v>
      </c>
    </row>
    <row r="57" spans="1:15" x14ac:dyDescent="0.25">
      <c r="A57" s="4" t="s">
        <v>163</v>
      </c>
      <c r="B57" s="4" t="s">
        <v>52</v>
      </c>
      <c r="C57" s="4" t="s">
        <v>12</v>
      </c>
      <c r="D57" s="4" t="s">
        <v>13</v>
      </c>
      <c r="E57" s="4">
        <v>38</v>
      </c>
      <c r="F57" s="4" t="s">
        <v>164</v>
      </c>
      <c r="G57" s="4"/>
      <c r="H57" s="4">
        <v>93674</v>
      </c>
      <c r="I57" s="4" t="s">
        <v>22</v>
      </c>
      <c r="J57" s="4">
        <v>5</v>
      </c>
      <c r="K57" s="4"/>
      <c r="L57" s="4" t="str" cm="1">
        <f t="array" ref="L57">_xlfn.IFS(E57&gt;=40,"Senior",E57&gt;=30,"Menior",E57&lt;30,"Fresher")</f>
        <v>Menior</v>
      </c>
      <c r="M57" s="4" t="str" cm="1">
        <f t="array" ref="M57">_xlfn.IFS(J57&gt;4,"High rating",J57&gt;=3,"Medium rating",J57&lt;3,"Low rating")</f>
        <v>High rating</v>
      </c>
      <c r="N57" s="4"/>
      <c r="O57">
        <v>2020</v>
      </c>
    </row>
    <row r="58" spans="1:15" x14ac:dyDescent="0.25">
      <c r="A58" s="4" t="s">
        <v>165</v>
      </c>
      <c r="B58" s="4" t="s">
        <v>44</v>
      </c>
      <c r="C58" s="4" t="s">
        <v>19</v>
      </c>
      <c r="D58" s="4" t="s">
        <v>13</v>
      </c>
      <c r="E58" s="4">
        <v>27</v>
      </c>
      <c r="F58" s="4" t="s">
        <v>166</v>
      </c>
      <c r="G58" s="4" t="s">
        <v>167</v>
      </c>
      <c r="H58" s="4">
        <v>67247</v>
      </c>
      <c r="I58" s="4" t="s">
        <v>16</v>
      </c>
      <c r="J58" s="4">
        <v>5</v>
      </c>
      <c r="K58" s="4"/>
      <c r="L58" s="4" t="str" cm="1">
        <f t="array" ref="L58">_xlfn.IFS(E58&gt;=40,"Senior",E58&gt;=30,"Menior",E58&lt;30,"Fresher")</f>
        <v>Fresher</v>
      </c>
      <c r="M58" s="4" t="str" cm="1">
        <f t="array" ref="M58">_xlfn.IFS(J58&gt;4,"High rating",J58&gt;=3,"Medium rating",J58&lt;3,"Low rating")</f>
        <v>High rating</v>
      </c>
      <c r="N58" s="4" t="str">
        <f>IF(AND(G58&lt;&gt;"",DATEDIF(F58,G58,"y")&lt;2),"yes","no")</f>
        <v>no</v>
      </c>
      <c r="O58">
        <v>2017</v>
      </c>
    </row>
    <row r="59" spans="1:15" x14ac:dyDescent="0.25">
      <c r="A59" s="4" t="s">
        <v>168</v>
      </c>
      <c r="B59" s="4" t="s">
        <v>11</v>
      </c>
      <c r="C59" s="4" t="s">
        <v>34</v>
      </c>
      <c r="D59" s="4" t="s">
        <v>20</v>
      </c>
      <c r="E59" s="4">
        <v>43</v>
      </c>
      <c r="F59" s="4" t="s">
        <v>169</v>
      </c>
      <c r="G59" s="4"/>
      <c r="H59" s="4">
        <v>42624</v>
      </c>
      <c r="I59" s="4" t="s">
        <v>22</v>
      </c>
      <c r="J59" s="4">
        <v>4</v>
      </c>
      <c r="K59" s="4"/>
      <c r="L59" s="4" t="str" cm="1">
        <f t="array" ref="L59">_xlfn.IFS(E59&gt;=40,"Senior",E59&gt;=30,"Menior",E59&lt;30,"Fresher")</f>
        <v>Senior</v>
      </c>
      <c r="M59" s="4" t="str" cm="1">
        <f t="array" ref="M59">_xlfn.IFS(J59&gt;4,"High rating",J59&gt;=3,"Medium rating",J59&lt;3,"Low rating")</f>
        <v>Medium rating</v>
      </c>
      <c r="N59" s="4"/>
      <c r="O59">
        <v>2016</v>
      </c>
    </row>
    <row r="60" spans="1:15" x14ac:dyDescent="0.25">
      <c r="A60" s="4" t="s">
        <v>170</v>
      </c>
      <c r="B60" s="4" t="s">
        <v>52</v>
      </c>
      <c r="C60" s="4" t="s">
        <v>27</v>
      </c>
      <c r="D60" s="4" t="s">
        <v>13</v>
      </c>
      <c r="E60" s="4">
        <v>47</v>
      </c>
      <c r="F60" s="4" t="s">
        <v>171</v>
      </c>
      <c r="G60" s="4" t="s">
        <v>172</v>
      </c>
      <c r="H60" s="4">
        <v>25208</v>
      </c>
      <c r="I60" s="4" t="s">
        <v>16</v>
      </c>
      <c r="J60" s="4">
        <v>2</v>
      </c>
      <c r="K60" s="4">
        <f t="shared" si="0"/>
        <v>3.0767123287671234</v>
      </c>
      <c r="L60" s="4" t="str" cm="1">
        <f t="array" ref="L60">_xlfn.IFS(E60&gt;=40,"Senior",E60&gt;=30,"Menior",E60&lt;30,"Fresher")</f>
        <v>Senior</v>
      </c>
      <c r="M60" s="4" t="str" cm="1">
        <f t="array" ref="M60">_xlfn.IFS(J60&gt;4,"High rating",J60&gt;=3,"Medium rating",J60&lt;3,"Low rating")</f>
        <v>Low rating</v>
      </c>
      <c r="N60" s="4" t="str">
        <f t="shared" si="1"/>
        <v>no</v>
      </c>
      <c r="O60">
        <v>2015</v>
      </c>
    </row>
    <row r="61" spans="1:15" x14ac:dyDescent="0.25">
      <c r="A61" s="4" t="s">
        <v>173</v>
      </c>
      <c r="B61" s="4" t="s">
        <v>58</v>
      </c>
      <c r="C61" s="4" t="s">
        <v>24</v>
      </c>
      <c r="D61" s="4" t="s">
        <v>20</v>
      </c>
      <c r="E61" s="4">
        <v>43</v>
      </c>
      <c r="F61" s="4" t="s">
        <v>81</v>
      </c>
      <c r="G61" s="4"/>
      <c r="H61" s="4">
        <v>94440</v>
      </c>
      <c r="I61" s="4" t="s">
        <v>22</v>
      </c>
      <c r="J61" s="4">
        <v>4</v>
      </c>
      <c r="K61" s="4"/>
      <c r="L61" s="4" t="str" cm="1">
        <f t="array" ref="L61">_xlfn.IFS(E61&gt;=40,"Senior",E61&gt;=30,"Menior",E61&lt;30,"Fresher")</f>
        <v>Senior</v>
      </c>
      <c r="M61" s="4" t="str" cm="1">
        <f t="array" ref="M61">_xlfn.IFS(J61&gt;4,"High rating",J61&gt;=3,"Medium rating",J61&lt;3,"Low rating")</f>
        <v>Medium rating</v>
      </c>
      <c r="N61" s="4"/>
      <c r="O61">
        <v>2022</v>
      </c>
    </row>
    <row r="62" spans="1:15" x14ac:dyDescent="0.25">
      <c r="A62" s="4" t="s">
        <v>174</v>
      </c>
      <c r="B62" s="4" t="s">
        <v>58</v>
      </c>
      <c r="C62" s="4" t="s">
        <v>34</v>
      </c>
      <c r="D62" s="4" t="s">
        <v>13</v>
      </c>
      <c r="E62" s="4">
        <v>32</v>
      </c>
      <c r="F62" s="4" t="s">
        <v>175</v>
      </c>
      <c r="G62" s="4" t="s">
        <v>176</v>
      </c>
      <c r="H62" s="4">
        <v>39226</v>
      </c>
      <c r="I62" s="4" t="s">
        <v>16</v>
      </c>
      <c r="J62" s="4">
        <v>4</v>
      </c>
      <c r="K62" s="4">
        <f t="shared" si="0"/>
        <v>3.3013698630136985</v>
      </c>
      <c r="L62" s="4" t="str" cm="1">
        <f t="array" ref="L62">_xlfn.IFS(E62&gt;=40,"Senior",E62&gt;=30,"Menior",E62&lt;30,"Fresher")</f>
        <v>Menior</v>
      </c>
      <c r="M62" s="4" t="str" cm="1">
        <f t="array" ref="M62">_xlfn.IFS(J62&gt;4,"High rating",J62&gt;=3,"Medium rating",J62&lt;3,"Low rating")</f>
        <v>Medium rating</v>
      </c>
      <c r="N62" s="4" t="str">
        <f t="shared" si="1"/>
        <v>no</v>
      </c>
      <c r="O62">
        <v>2020</v>
      </c>
    </row>
    <row r="63" spans="1:15" x14ac:dyDescent="0.25">
      <c r="A63" s="4" t="s">
        <v>177</v>
      </c>
      <c r="B63" s="4" t="s">
        <v>40</v>
      </c>
      <c r="C63" s="4" t="s">
        <v>24</v>
      </c>
      <c r="D63" s="4" t="s">
        <v>20</v>
      </c>
      <c r="E63" s="4">
        <v>35</v>
      </c>
      <c r="F63" s="4" t="s">
        <v>178</v>
      </c>
      <c r="G63" s="4" t="s">
        <v>179</v>
      </c>
      <c r="H63" s="4">
        <v>102208</v>
      </c>
      <c r="I63" s="4" t="s">
        <v>16</v>
      </c>
      <c r="J63" s="4">
        <v>5</v>
      </c>
      <c r="K63" s="4">
        <f t="shared" si="0"/>
        <v>3.3506849315068492</v>
      </c>
      <c r="L63" s="4" t="str" cm="1">
        <f t="array" ref="L63">_xlfn.IFS(E63&gt;=40,"Senior",E63&gt;=30,"Menior",E63&lt;30,"Fresher")</f>
        <v>Menior</v>
      </c>
      <c r="M63" s="4" t="str" cm="1">
        <f t="array" ref="M63">_xlfn.IFS(J63&gt;4,"High rating",J63&gt;=3,"Medium rating",J63&lt;3,"Low rating")</f>
        <v>High rating</v>
      </c>
      <c r="N63" s="4" t="str">
        <f t="shared" si="1"/>
        <v>no</v>
      </c>
      <c r="O63">
        <v>2023</v>
      </c>
    </row>
    <row r="64" spans="1:15" x14ac:dyDescent="0.25">
      <c r="A64" s="4" t="s">
        <v>180</v>
      </c>
      <c r="B64" s="4" t="s">
        <v>52</v>
      </c>
      <c r="C64" s="4" t="s">
        <v>34</v>
      </c>
      <c r="D64" s="4" t="s">
        <v>20</v>
      </c>
      <c r="E64" s="4">
        <v>38</v>
      </c>
      <c r="F64" s="4" t="s">
        <v>181</v>
      </c>
      <c r="G64" s="4"/>
      <c r="H64" s="4">
        <v>92067</v>
      </c>
      <c r="I64" s="4" t="s">
        <v>22</v>
      </c>
      <c r="J64" s="4">
        <v>2</v>
      </c>
      <c r="K64" s="4"/>
      <c r="L64" s="4" t="str" cm="1">
        <f t="array" ref="L64">_xlfn.IFS(E64&gt;=40,"Senior",E64&gt;=30,"Menior",E64&lt;30,"Fresher")</f>
        <v>Menior</v>
      </c>
      <c r="M64" s="4" t="str" cm="1">
        <f t="array" ref="M64">_xlfn.IFS(J64&gt;4,"High rating",J64&gt;=3,"Medium rating",J64&lt;3,"Low rating")</f>
        <v>Low rating</v>
      </c>
      <c r="N64" s="4"/>
      <c r="O64">
        <v>2020</v>
      </c>
    </row>
    <row r="65" spans="1:15" x14ac:dyDescent="0.25">
      <c r="A65" s="4" t="s">
        <v>182</v>
      </c>
      <c r="B65" s="4" t="s">
        <v>33</v>
      </c>
      <c r="C65" s="4" t="s">
        <v>24</v>
      </c>
      <c r="D65" s="4" t="s">
        <v>13</v>
      </c>
      <c r="E65" s="4">
        <v>28</v>
      </c>
      <c r="F65" s="4" t="s">
        <v>183</v>
      </c>
      <c r="G65" s="4" t="s">
        <v>184</v>
      </c>
      <c r="H65" s="4">
        <v>116324</v>
      </c>
      <c r="I65" s="4" t="s">
        <v>16</v>
      </c>
      <c r="J65" s="4">
        <v>4</v>
      </c>
      <c r="K65" s="4">
        <f t="shared" si="0"/>
        <v>2.5671232876712327</v>
      </c>
      <c r="L65" s="4" t="str" cm="1">
        <f t="array" ref="L65">_xlfn.IFS(E65&gt;=40,"Senior",E65&gt;=30,"Menior",E65&lt;30,"Fresher")</f>
        <v>Fresher</v>
      </c>
      <c r="M65" s="4" t="str" cm="1">
        <f t="array" ref="M65">_xlfn.IFS(J65&gt;4,"High rating",J65&gt;=3,"Medium rating",J65&lt;3,"Low rating")</f>
        <v>Medium rating</v>
      </c>
      <c r="N65" s="4" t="str">
        <f t="shared" si="1"/>
        <v>no</v>
      </c>
      <c r="O65">
        <v>2019</v>
      </c>
    </row>
    <row r="66" spans="1:15" x14ac:dyDescent="0.25">
      <c r="A66" s="4" t="s">
        <v>185</v>
      </c>
      <c r="B66" s="4" t="s">
        <v>52</v>
      </c>
      <c r="C66" s="4" t="s">
        <v>34</v>
      </c>
      <c r="D66" s="4" t="s">
        <v>13</v>
      </c>
      <c r="E66" s="4">
        <v>50</v>
      </c>
      <c r="F66" s="4" t="s">
        <v>186</v>
      </c>
      <c r="G66" s="4" t="s">
        <v>187</v>
      </c>
      <c r="H66" s="4">
        <v>25164</v>
      </c>
      <c r="I66" s="4" t="s">
        <v>16</v>
      </c>
      <c r="J66" s="4">
        <v>5</v>
      </c>
      <c r="K66" s="4">
        <f t="shared" si="0"/>
        <v>0.56986301369863013</v>
      </c>
      <c r="L66" s="4" t="str" cm="1">
        <f t="array" ref="L66">_xlfn.IFS(E66&gt;=40,"Senior",E66&gt;=30,"Menior",E66&lt;30,"Fresher")</f>
        <v>Senior</v>
      </c>
      <c r="M66" s="4" t="str" cm="1">
        <f t="array" ref="M66">_xlfn.IFS(J66&gt;4,"High rating",J66&gt;=3,"Medium rating",J66&lt;3,"Low rating")</f>
        <v>High rating</v>
      </c>
      <c r="N66" s="4" t="str">
        <f t="shared" si="1"/>
        <v>yes</v>
      </c>
      <c r="O66">
        <v>2016</v>
      </c>
    </row>
    <row r="67" spans="1:15" x14ac:dyDescent="0.25">
      <c r="A67" s="4" t="s">
        <v>188</v>
      </c>
      <c r="B67" s="4" t="s">
        <v>83</v>
      </c>
      <c r="C67" s="4" t="s">
        <v>27</v>
      </c>
      <c r="D67" s="4" t="s">
        <v>20</v>
      </c>
      <c r="E67" s="4">
        <v>26</v>
      </c>
      <c r="F67" s="4" t="s">
        <v>189</v>
      </c>
      <c r="G67" s="4"/>
      <c r="H67" s="4">
        <v>111416</v>
      </c>
      <c r="I67" s="4" t="s">
        <v>22</v>
      </c>
      <c r="J67" s="4">
        <v>1</v>
      </c>
      <c r="K67" s="4"/>
      <c r="L67" s="4" t="str" cm="1">
        <f t="array" ref="L67">_xlfn.IFS(E67&gt;=40,"Senior",E67&gt;=30,"Menior",E67&lt;30,"Fresher")</f>
        <v>Fresher</v>
      </c>
      <c r="M67" s="4" t="str" cm="1">
        <f t="array" ref="M67">_xlfn.IFS(J67&gt;4,"High rating",J67&gt;=3,"Medium rating",J67&lt;3,"Low rating")</f>
        <v>Low rating</v>
      </c>
      <c r="N67" s="4"/>
      <c r="O67">
        <v>2016</v>
      </c>
    </row>
    <row r="68" spans="1:15" x14ac:dyDescent="0.25">
      <c r="A68" s="4" t="s">
        <v>190</v>
      </c>
      <c r="B68" s="4" t="s">
        <v>83</v>
      </c>
      <c r="C68" s="4" t="s">
        <v>12</v>
      </c>
      <c r="D68" s="4" t="s">
        <v>20</v>
      </c>
      <c r="E68" s="4">
        <v>30</v>
      </c>
      <c r="F68" s="4" t="s">
        <v>191</v>
      </c>
      <c r="G68" s="4"/>
      <c r="H68" s="4">
        <v>37122</v>
      </c>
      <c r="I68" s="4" t="s">
        <v>22</v>
      </c>
      <c r="J68" s="4">
        <v>3</v>
      </c>
      <c r="K68" s="4"/>
      <c r="L68" s="4" t="str" cm="1">
        <f t="array" ref="L68">_xlfn.IFS(E68&gt;=40,"Senior",E68&gt;=30,"Menior",E68&lt;30,"Fresher")</f>
        <v>Menior</v>
      </c>
      <c r="M68" s="4" t="str" cm="1">
        <f t="array" ref="M68">_xlfn.IFS(J68&gt;4,"High rating",J68&gt;=3,"Medium rating",J68&lt;3,"Low rating")</f>
        <v>Medium rating</v>
      </c>
      <c r="N68" s="4"/>
      <c r="O68">
        <v>2017</v>
      </c>
    </row>
    <row r="69" spans="1:15" x14ac:dyDescent="0.25">
      <c r="A69" s="4" t="s">
        <v>192</v>
      </c>
      <c r="B69" s="4" t="s">
        <v>44</v>
      </c>
      <c r="C69" s="4" t="s">
        <v>19</v>
      </c>
      <c r="D69" s="4" t="s">
        <v>20</v>
      </c>
      <c r="E69" s="4">
        <v>42</v>
      </c>
      <c r="F69" s="4" t="s">
        <v>193</v>
      </c>
      <c r="G69" s="4" t="s">
        <v>194</v>
      </c>
      <c r="H69" s="4">
        <v>37669</v>
      </c>
      <c r="I69" s="4" t="s">
        <v>16</v>
      </c>
      <c r="J69" s="4">
        <v>3</v>
      </c>
      <c r="K69" s="4">
        <f t="shared" ref="K69:K129" si="2">(G69-F69)/365</f>
        <v>1.9506849315068493</v>
      </c>
      <c r="L69" s="4" t="str" cm="1">
        <f t="array" ref="L69">_xlfn.IFS(E69&gt;=40,"Senior",E69&gt;=30,"Menior",E69&lt;30,"Fresher")</f>
        <v>Senior</v>
      </c>
      <c r="M69" s="4" t="str" cm="1">
        <f t="array" ref="M69">_xlfn.IFS(J69&gt;4,"High rating",J69&gt;=3,"Medium rating",J69&lt;3,"Low rating")</f>
        <v>Medium rating</v>
      </c>
      <c r="N69" s="4" t="str">
        <f t="shared" ref="N69:N129" si="3">IF(AND(G69&lt;&gt;"",DATEDIF(F69,G69,"y")&lt;2),"yes","no")</f>
        <v>yes</v>
      </c>
      <c r="O69">
        <v>2017</v>
      </c>
    </row>
    <row r="70" spans="1:15" x14ac:dyDescent="0.25">
      <c r="A70" s="4" t="s">
        <v>195</v>
      </c>
      <c r="B70" s="4" t="s">
        <v>40</v>
      </c>
      <c r="C70" s="4" t="s">
        <v>24</v>
      </c>
      <c r="D70" s="4" t="s">
        <v>20</v>
      </c>
      <c r="E70" s="4">
        <v>36</v>
      </c>
      <c r="F70" s="4" t="s">
        <v>196</v>
      </c>
      <c r="G70" s="4" t="s">
        <v>197</v>
      </c>
      <c r="H70" s="4">
        <v>103942</v>
      </c>
      <c r="I70" s="4" t="s">
        <v>16</v>
      </c>
      <c r="J70" s="4">
        <v>1</v>
      </c>
      <c r="K70" s="4">
        <f t="shared" si="2"/>
        <v>3.9123287671232876</v>
      </c>
      <c r="L70" s="4" t="str" cm="1">
        <f t="array" ref="L70">_xlfn.IFS(E70&gt;=40,"Senior",E70&gt;=30,"Menior",E70&lt;30,"Fresher")</f>
        <v>Menior</v>
      </c>
      <c r="M70" s="4" t="str" cm="1">
        <f t="array" ref="M70">_xlfn.IFS(J70&gt;4,"High rating",J70&gt;=3,"Medium rating",J70&lt;3,"Low rating")</f>
        <v>Low rating</v>
      </c>
      <c r="N70" s="4" t="str">
        <f t="shared" si="3"/>
        <v>no</v>
      </c>
      <c r="O70">
        <v>2021</v>
      </c>
    </row>
    <row r="71" spans="1:15" x14ac:dyDescent="0.25">
      <c r="A71" s="4" t="s">
        <v>198</v>
      </c>
      <c r="B71" s="4" t="s">
        <v>18</v>
      </c>
      <c r="C71" s="4" t="s">
        <v>24</v>
      </c>
      <c r="D71" s="4" t="s">
        <v>13</v>
      </c>
      <c r="E71" s="4">
        <v>25</v>
      </c>
      <c r="F71" s="4" t="s">
        <v>199</v>
      </c>
      <c r="G71" s="4"/>
      <c r="H71" s="4">
        <v>119634</v>
      </c>
      <c r="I71" s="4" t="s">
        <v>22</v>
      </c>
      <c r="J71" s="4">
        <v>3</v>
      </c>
      <c r="K71" s="4"/>
      <c r="L71" s="4" t="str" cm="1">
        <f t="array" ref="L71">_xlfn.IFS(E71&gt;=40,"Senior",E71&gt;=30,"Menior",E71&lt;30,"Fresher")</f>
        <v>Fresher</v>
      </c>
      <c r="M71" s="4" t="str" cm="1">
        <f t="array" ref="M71">_xlfn.IFS(J71&gt;4,"High rating",J71&gt;=3,"Medium rating",J71&lt;3,"Low rating")</f>
        <v>Medium rating</v>
      </c>
      <c r="N71" s="4"/>
      <c r="O71">
        <v>2021</v>
      </c>
    </row>
    <row r="72" spans="1:15" x14ac:dyDescent="0.25">
      <c r="A72" s="4" t="s">
        <v>200</v>
      </c>
      <c r="B72" s="4" t="s">
        <v>44</v>
      </c>
      <c r="C72" s="4" t="s">
        <v>12</v>
      </c>
      <c r="D72" s="4" t="s">
        <v>20</v>
      </c>
      <c r="E72" s="4">
        <v>36</v>
      </c>
      <c r="F72" s="4" t="s">
        <v>201</v>
      </c>
      <c r="G72" s="4" t="s">
        <v>202</v>
      </c>
      <c r="H72" s="4">
        <v>73611</v>
      </c>
      <c r="I72" s="4" t="s">
        <v>16</v>
      </c>
      <c r="J72" s="4">
        <v>2</v>
      </c>
      <c r="K72" s="4">
        <f t="shared" si="2"/>
        <v>0.15890410958904111</v>
      </c>
      <c r="L72" s="4" t="str" cm="1">
        <f t="array" ref="L72">_xlfn.IFS(E72&gt;=40,"Senior",E72&gt;=30,"Menior",E72&lt;30,"Fresher")</f>
        <v>Menior</v>
      </c>
      <c r="M72" s="4" t="str" cm="1">
        <f t="array" ref="M72">_xlfn.IFS(J72&gt;4,"High rating",J72&gt;=3,"Medium rating",J72&lt;3,"Low rating")</f>
        <v>Low rating</v>
      </c>
      <c r="N72" s="4" t="str">
        <f t="shared" si="3"/>
        <v>yes</v>
      </c>
      <c r="O72">
        <v>2018</v>
      </c>
    </row>
    <row r="73" spans="1:15" x14ac:dyDescent="0.25">
      <c r="A73" s="4" t="s">
        <v>203</v>
      </c>
      <c r="B73" s="4" t="s">
        <v>58</v>
      </c>
      <c r="C73" s="4" t="s">
        <v>27</v>
      </c>
      <c r="D73" s="4" t="s">
        <v>20</v>
      </c>
      <c r="E73" s="4">
        <v>29</v>
      </c>
      <c r="F73" s="4" t="s">
        <v>204</v>
      </c>
      <c r="G73" s="4"/>
      <c r="H73" s="4">
        <v>59225</v>
      </c>
      <c r="I73" s="4" t="s">
        <v>22</v>
      </c>
      <c r="J73" s="4">
        <v>2</v>
      </c>
      <c r="K73" s="4"/>
      <c r="L73" s="4" t="str" cm="1">
        <f t="array" ref="L73">_xlfn.IFS(E73&gt;=40,"Senior",E73&gt;=30,"Menior",E73&lt;30,"Fresher")</f>
        <v>Fresher</v>
      </c>
      <c r="M73" s="4" t="str" cm="1">
        <f t="array" ref="M73">_xlfn.IFS(J73&gt;4,"High rating",J73&gt;=3,"Medium rating",J73&lt;3,"Low rating")</f>
        <v>Low rating</v>
      </c>
      <c r="N73" s="4"/>
      <c r="O73">
        <v>2019</v>
      </c>
    </row>
    <row r="74" spans="1:15" x14ac:dyDescent="0.25">
      <c r="A74" s="4" t="s">
        <v>205</v>
      </c>
      <c r="B74" s="4" t="s">
        <v>33</v>
      </c>
      <c r="C74" s="4" t="s">
        <v>24</v>
      </c>
      <c r="D74" s="4" t="s">
        <v>20</v>
      </c>
      <c r="E74" s="4">
        <v>33</v>
      </c>
      <c r="F74" s="4" t="s">
        <v>206</v>
      </c>
      <c r="G74" s="4" t="s">
        <v>207</v>
      </c>
      <c r="H74" s="4">
        <v>114308</v>
      </c>
      <c r="I74" s="4" t="s">
        <v>16</v>
      </c>
      <c r="J74" s="4">
        <v>5</v>
      </c>
      <c r="K74" s="4">
        <f t="shared" si="2"/>
        <v>2.8301369863013699</v>
      </c>
      <c r="L74" s="4" t="str" cm="1">
        <f t="array" ref="L74">_xlfn.IFS(E74&gt;=40,"Senior",E74&gt;=30,"Menior",E74&lt;30,"Fresher")</f>
        <v>Menior</v>
      </c>
      <c r="M74" s="4" t="str" cm="1">
        <f t="array" ref="M74">_xlfn.IFS(J74&gt;4,"High rating",J74&gt;=3,"Medium rating",J74&lt;3,"Low rating")</f>
        <v>High rating</v>
      </c>
      <c r="N74" s="4" t="str">
        <f t="shared" si="3"/>
        <v>no</v>
      </c>
      <c r="O74">
        <v>2018</v>
      </c>
    </row>
    <row r="75" spans="1:15" x14ac:dyDescent="0.25">
      <c r="A75" s="4" t="s">
        <v>208</v>
      </c>
      <c r="B75" s="4" t="s">
        <v>58</v>
      </c>
      <c r="C75" s="4" t="s">
        <v>27</v>
      </c>
      <c r="D75" s="4" t="s">
        <v>13</v>
      </c>
      <c r="E75" s="4">
        <v>30</v>
      </c>
      <c r="F75" s="4" t="s">
        <v>209</v>
      </c>
      <c r="G75" s="4"/>
      <c r="H75" s="4">
        <v>102550</v>
      </c>
      <c r="I75" s="4" t="s">
        <v>22</v>
      </c>
      <c r="J75" s="4">
        <v>1</v>
      </c>
      <c r="K75" s="4"/>
      <c r="L75" s="4" t="str" cm="1">
        <f t="array" ref="L75">_xlfn.IFS(E75&gt;=40,"Senior",E75&gt;=30,"Menior",E75&lt;30,"Fresher")</f>
        <v>Menior</v>
      </c>
      <c r="M75" s="4" t="str" cm="1">
        <f t="array" ref="M75">_xlfn.IFS(J75&gt;4,"High rating",J75&gt;=3,"Medium rating",J75&lt;3,"Low rating")</f>
        <v>Low rating</v>
      </c>
      <c r="N75" s="4"/>
      <c r="O75">
        <v>2020</v>
      </c>
    </row>
    <row r="76" spans="1:15" x14ac:dyDescent="0.25">
      <c r="A76" s="4" t="s">
        <v>210</v>
      </c>
      <c r="B76" s="4" t="s">
        <v>73</v>
      </c>
      <c r="C76" s="4" t="s">
        <v>19</v>
      </c>
      <c r="D76" s="4" t="s">
        <v>20</v>
      </c>
      <c r="E76" s="4">
        <v>39</v>
      </c>
      <c r="F76" s="4" t="s">
        <v>211</v>
      </c>
      <c r="G76" s="4" t="s">
        <v>212</v>
      </c>
      <c r="H76" s="4">
        <v>32189</v>
      </c>
      <c r="I76" s="4" t="s">
        <v>16</v>
      </c>
      <c r="J76" s="4">
        <v>1</v>
      </c>
      <c r="K76" s="4">
        <f t="shared" si="2"/>
        <v>1.747945205479452</v>
      </c>
      <c r="L76" s="4" t="str" cm="1">
        <f t="array" ref="L76">_xlfn.IFS(E76&gt;=40,"Senior",E76&gt;=30,"Menior",E76&lt;30,"Fresher")</f>
        <v>Menior</v>
      </c>
      <c r="M76" s="4" t="str" cm="1">
        <f t="array" ref="M76">_xlfn.IFS(J76&gt;4,"High rating",J76&gt;=3,"Medium rating",J76&lt;3,"Low rating")</f>
        <v>Low rating</v>
      </c>
      <c r="N76" s="4" t="str">
        <f t="shared" si="3"/>
        <v>yes</v>
      </c>
      <c r="O76">
        <v>2021</v>
      </c>
    </row>
    <row r="77" spans="1:15" x14ac:dyDescent="0.25">
      <c r="A77" s="4" t="s">
        <v>213</v>
      </c>
      <c r="B77" s="4" t="s">
        <v>37</v>
      </c>
      <c r="C77" s="4" t="s">
        <v>34</v>
      </c>
      <c r="D77" s="4" t="s">
        <v>13</v>
      </c>
      <c r="E77" s="4">
        <v>24</v>
      </c>
      <c r="F77" s="4" t="s">
        <v>106</v>
      </c>
      <c r="G77" s="4"/>
      <c r="H77" s="4">
        <v>36917</v>
      </c>
      <c r="I77" s="4" t="s">
        <v>22</v>
      </c>
      <c r="J77" s="4">
        <v>1</v>
      </c>
      <c r="K77" s="4"/>
      <c r="L77" s="4" t="str" cm="1">
        <f t="array" ref="L77">_xlfn.IFS(E77&gt;=40,"Senior",E77&gt;=30,"Menior",E77&lt;30,"Fresher")</f>
        <v>Fresher</v>
      </c>
      <c r="M77" s="4" t="str" cm="1">
        <f t="array" ref="M77">_xlfn.IFS(J77&gt;4,"High rating",J77&gt;=3,"Medium rating",J77&lt;3,"Low rating")</f>
        <v>Low rating</v>
      </c>
      <c r="N77" s="4"/>
      <c r="O77">
        <v>2017</v>
      </c>
    </row>
    <row r="78" spans="1:15" x14ac:dyDescent="0.25">
      <c r="A78" s="4" t="s">
        <v>214</v>
      </c>
      <c r="B78" s="4" t="s">
        <v>40</v>
      </c>
      <c r="C78" s="4" t="s">
        <v>12</v>
      </c>
      <c r="D78" s="4" t="s">
        <v>13</v>
      </c>
      <c r="E78" s="4">
        <v>29</v>
      </c>
      <c r="F78" s="4" t="s">
        <v>215</v>
      </c>
      <c r="G78" s="4" t="s">
        <v>216</v>
      </c>
      <c r="H78" s="4">
        <v>77589</v>
      </c>
      <c r="I78" s="4" t="s">
        <v>16</v>
      </c>
      <c r="J78" s="4">
        <v>5</v>
      </c>
      <c r="K78" s="4">
        <f t="shared" si="2"/>
        <v>0.20273972602739726</v>
      </c>
      <c r="L78" s="4" t="str" cm="1">
        <f t="array" ref="L78">_xlfn.IFS(E78&gt;=40,"Senior",E78&gt;=30,"Menior",E78&lt;30,"Fresher")</f>
        <v>Fresher</v>
      </c>
      <c r="M78" s="4" t="str" cm="1">
        <f t="array" ref="M78">_xlfn.IFS(J78&gt;4,"High rating",J78&gt;=3,"Medium rating",J78&lt;3,"Low rating")</f>
        <v>High rating</v>
      </c>
      <c r="N78" s="4" t="str">
        <f t="shared" si="3"/>
        <v>yes</v>
      </c>
      <c r="O78">
        <v>2019</v>
      </c>
    </row>
    <row r="79" spans="1:15" x14ac:dyDescent="0.25">
      <c r="A79" s="4" t="s">
        <v>217</v>
      </c>
      <c r="B79" s="4" t="s">
        <v>44</v>
      </c>
      <c r="C79" s="4" t="s">
        <v>27</v>
      </c>
      <c r="D79" s="4" t="s">
        <v>20</v>
      </c>
      <c r="E79" s="4">
        <v>46</v>
      </c>
      <c r="F79" s="4" t="s">
        <v>218</v>
      </c>
      <c r="G79" s="4" t="s">
        <v>219</v>
      </c>
      <c r="H79" s="4">
        <v>61443</v>
      </c>
      <c r="I79" s="4" t="s">
        <v>16</v>
      </c>
      <c r="J79" s="4">
        <v>5</v>
      </c>
      <c r="K79" s="4">
        <f t="shared" si="2"/>
        <v>0.72054794520547949</v>
      </c>
      <c r="L79" s="4" t="str" cm="1">
        <f t="array" ref="L79">_xlfn.IFS(E79&gt;=40,"Senior",E79&gt;=30,"Menior",E79&lt;30,"Fresher")</f>
        <v>Senior</v>
      </c>
      <c r="M79" s="4" t="str" cm="1">
        <f t="array" ref="M79">_xlfn.IFS(J79&gt;4,"High rating",J79&gt;=3,"Medium rating",J79&lt;3,"Low rating")</f>
        <v>High rating</v>
      </c>
      <c r="N79" s="4" t="str">
        <f t="shared" si="3"/>
        <v>yes</v>
      </c>
      <c r="O79">
        <v>2018</v>
      </c>
    </row>
    <row r="80" spans="1:15" x14ac:dyDescent="0.25">
      <c r="A80" s="4" t="s">
        <v>220</v>
      </c>
      <c r="B80" s="4" t="s">
        <v>44</v>
      </c>
      <c r="C80" s="4" t="s">
        <v>24</v>
      </c>
      <c r="D80" s="4" t="s">
        <v>20</v>
      </c>
      <c r="E80" s="4">
        <v>48</v>
      </c>
      <c r="F80" s="4" t="s">
        <v>221</v>
      </c>
      <c r="G80" s="4"/>
      <c r="H80" s="4">
        <v>60785</v>
      </c>
      <c r="I80" s="4" t="s">
        <v>22</v>
      </c>
      <c r="J80" s="4">
        <v>3</v>
      </c>
      <c r="K80" s="4"/>
      <c r="L80" s="4" t="str" cm="1">
        <f t="array" ref="L80">_xlfn.IFS(E80&gt;=40,"Senior",E80&gt;=30,"Menior",E80&lt;30,"Fresher")</f>
        <v>Senior</v>
      </c>
      <c r="M80" s="4" t="str" cm="1">
        <f t="array" ref="M80">_xlfn.IFS(J80&gt;4,"High rating",J80&gt;=3,"Medium rating",J80&lt;3,"Low rating")</f>
        <v>Medium rating</v>
      </c>
      <c r="N80" s="4"/>
      <c r="O80">
        <v>2020</v>
      </c>
    </row>
    <row r="81" spans="1:15" x14ac:dyDescent="0.25">
      <c r="A81" s="4" t="s">
        <v>222</v>
      </c>
      <c r="B81" s="4" t="s">
        <v>44</v>
      </c>
      <c r="C81" s="4" t="s">
        <v>19</v>
      </c>
      <c r="D81" s="4" t="s">
        <v>20</v>
      </c>
      <c r="E81" s="4">
        <v>40</v>
      </c>
      <c r="F81" s="4" t="s">
        <v>223</v>
      </c>
      <c r="G81" s="4"/>
      <c r="H81" s="4">
        <v>45302</v>
      </c>
      <c r="I81" s="4" t="s">
        <v>22</v>
      </c>
      <c r="J81" s="4">
        <v>3</v>
      </c>
      <c r="K81" s="4"/>
      <c r="L81" s="4" t="str" cm="1">
        <f t="array" ref="L81">_xlfn.IFS(E81&gt;=40,"Senior",E81&gt;=30,"Menior",E81&lt;30,"Fresher")</f>
        <v>Senior</v>
      </c>
      <c r="M81" s="4" t="str" cm="1">
        <f t="array" ref="M81">_xlfn.IFS(J81&gt;4,"High rating",J81&gt;=3,"Medium rating",J81&lt;3,"Low rating")</f>
        <v>Medium rating</v>
      </c>
      <c r="N81" s="4"/>
      <c r="O81">
        <v>2017</v>
      </c>
    </row>
    <row r="82" spans="1:15" x14ac:dyDescent="0.25">
      <c r="A82" s="4" t="s">
        <v>224</v>
      </c>
      <c r="B82" s="4" t="s">
        <v>52</v>
      </c>
      <c r="C82" s="4" t="s">
        <v>27</v>
      </c>
      <c r="D82" s="4" t="s">
        <v>20</v>
      </c>
      <c r="E82" s="4">
        <v>35</v>
      </c>
      <c r="F82" s="4" t="s">
        <v>225</v>
      </c>
      <c r="G82" s="4" t="s">
        <v>226</v>
      </c>
      <c r="H82" s="4">
        <v>80015</v>
      </c>
      <c r="I82" s="4" t="s">
        <v>16</v>
      </c>
      <c r="J82" s="4">
        <v>4</v>
      </c>
      <c r="K82" s="4">
        <f t="shared" si="2"/>
        <v>2.871232876712329</v>
      </c>
      <c r="L82" s="4" t="str" cm="1">
        <f t="array" ref="L82">_xlfn.IFS(E82&gt;=40,"Senior",E82&gt;=30,"Menior",E82&lt;30,"Fresher")</f>
        <v>Menior</v>
      </c>
      <c r="M82" s="4" t="str" cm="1">
        <f t="array" ref="M82">_xlfn.IFS(J82&gt;4,"High rating",J82&gt;=3,"Medium rating",J82&lt;3,"Low rating")</f>
        <v>Medium rating</v>
      </c>
      <c r="N82" s="4" t="str">
        <f t="shared" si="3"/>
        <v>no</v>
      </c>
      <c r="O82">
        <v>2020</v>
      </c>
    </row>
    <row r="83" spans="1:15" x14ac:dyDescent="0.25">
      <c r="A83" s="4" t="s">
        <v>227</v>
      </c>
      <c r="B83" s="4" t="s">
        <v>18</v>
      </c>
      <c r="C83" s="4" t="s">
        <v>34</v>
      </c>
      <c r="D83" s="4" t="s">
        <v>13</v>
      </c>
      <c r="E83" s="4">
        <v>26</v>
      </c>
      <c r="F83" s="4" t="s">
        <v>228</v>
      </c>
      <c r="G83" s="4" t="s">
        <v>229</v>
      </c>
      <c r="H83" s="4">
        <v>75255</v>
      </c>
      <c r="I83" s="4" t="s">
        <v>16</v>
      </c>
      <c r="J83" s="4">
        <v>3</v>
      </c>
      <c r="K83" s="4">
        <f t="shared" si="2"/>
        <v>3.5397260273972604</v>
      </c>
      <c r="L83" s="4" t="str" cm="1">
        <f t="array" ref="L83">_xlfn.IFS(E83&gt;=40,"Senior",E83&gt;=30,"Menior",E83&lt;30,"Fresher")</f>
        <v>Fresher</v>
      </c>
      <c r="M83" s="4" t="str" cm="1">
        <f t="array" ref="M83">_xlfn.IFS(J83&gt;4,"High rating",J83&gt;=3,"Medium rating",J83&lt;3,"Low rating")</f>
        <v>Medium rating</v>
      </c>
      <c r="N83" s="4" t="str">
        <f t="shared" si="3"/>
        <v>no</v>
      </c>
      <c r="O83">
        <v>2021</v>
      </c>
    </row>
    <row r="84" spans="1:15" x14ac:dyDescent="0.25">
      <c r="A84" s="4" t="s">
        <v>230</v>
      </c>
      <c r="B84" s="4" t="s">
        <v>18</v>
      </c>
      <c r="C84" s="4" t="s">
        <v>12</v>
      </c>
      <c r="D84" s="4" t="s">
        <v>13</v>
      </c>
      <c r="E84" s="4">
        <v>25</v>
      </c>
      <c r="F84" s="4" t="s">
        <v>231</v>
      </c>
      <c r="G84" s="4"/>
      <c r="H84" s="4">
        <v>59206</v>
      </c>
      <c r="I84" s="4" t="s">
        <v>22</v>
      </c>
      <c r="J84" s="4">
        <v>5</v>
      </c>
      <c r="K84" s="4"/>
      <c r="L84" s="4" t="str" cm="1">
        <f t="array" ref="L84">_xlfn.IFS(E84&gt;=40,"Senior",E84&gt;=30,"Menior",E84&lt;30,"Fresher")</f>
        <v>Fresher</v>
      </c>
      <c r="M84" s="4" t="str" cm="1">
        <f t="array" ref="M84">_xlfn.IFS(J84&gt;4,"High rating",J84&gt;=3,"Medium rating",J84&lt;3,"Low rating")</f>
        <v>High rating</v>
      </c>
      <c r="N84" s="4"/>
      <c r="O84">
        <v>2019</v>
      </c>
    </row>
    <row r="85" spans="1:15" x14ac:dyDescent="0.25">
      <c r="A85" s="4" t="s">
        <v>232</v>
      </c>
      <c r="B85" s="4" t="s">
        <v>11</v>
      </c>
      <c r="C85" s="4" t="s">
        <v>27</v>
      </c>
      <c r="D85" s="4" t="s">
        <v>20</v>
      </c>
      <c r="E85" s="4">
        <v>38</v>
      </c>
      <c r="F85" s="4" t="s">
        <v>233</v>
      </c>
      <c r="G85" s="4" t="s">
        <v>234</v>
      </c>
      <c r="H85" s="4">
        <v>107061</v>
      </c>
      <c r="I85" s="4" t="s">
        <v>16</v>
      </c>
      <c r="J85" s="4">
        <v>3</v>
      </c>
      <c r="K85" s="4">
        <f t="shared" si="2"/>
        <v>0.45479452054794522</v>
      </c>
      <c r="L85" s="4" t="str" cm="1">
        <f t="array" ref="L85">_xlfn.IFS(E85&gt;=40,"Senior",E85&gt;=30,"Menior",E85&lt;30,"Fresher")</f>
        <v>Menior</v>
      </c>
      <c r="M85" s="4" t="str" cm="1">
        <f t="array" ref="M85">_xlfn.IFS(J85&gt;4,"High rating",J85&gt;=3,"Medium rating",J85&lt;3,"Low rating")</f>
        <v>Medium rating</v>
      </c>
      <c r="N85" s="4" t="str">
        <f t="shared" si="3"/>
        <v>yes</v>
      </c>
      <c r="O85">
        <v>2021</v>
      </c>
    </row>
    <row r="86" spans="1:15" x14ac:dyDescent="0.25">
      <c r="A86" s="4" t="s">
        <v>235</v>
      </c>
      <c r="B86" s="4" t="s">
        <v>44</v>
      </c>
      <c r="C86" s="4" t="s">
        <v>12</v>
      </c>
      <c r="D86" s="4" t="s">
        <v>20</v>
      </c>
      <c r="E86" s="4">
        <v>46</v>
      </c>
      <c r="F86" s="4" t="s">
        <v>236</v>
      </c>
      <c r="G86" s="4"/>
      <c r="H86" s="4">
        <v>55886</v>
      </c>
      <c r="I86" s="4" t="s">
        <v>22</v>
      </c>
      <c r="J86" s="4">
        <v>4</v>
      </c>
      <c r="K86" s="4"/>
      <c r="L86" s="4" t="str" cm="1">
        <f t="array" ref="L86">_xlfn.IFS(E86&gt;=40,"Senior",E86&gt;=30,"Menior",E86&lt;30,"Fresher")</f>
        <v>Senior</v>
      </c>
      <c r="M86" s="4" t="str" cm="1">
        <f t="array" ref="M86">_xlfn.IFS(J86&gt;4,"High rating",J86&gt;=3,"Medium rating",J86&lt;3,"Low rating")</f>
        <v>Medium rating</v>
      </c>
      <c r="N86" s="4"/>
      <c r="O86">
        <v>2017</v>
      </c>
    </row>
    <row r="87" spans="1:15" x14ac:dyDescent="0.25">
      <c r="A87" s="4" t="s">
        <v>237</v>
      </c>
      <c r="B87" s="4" t="s">
        <v>37</v>
      </c>
      <c r="C87" s="4" t="s">
        <v>12</v>
      </c>
      <c r="D87" s="4" t="s">
        <v>20</v>
      </c>
      <c r="E87" s="4">
        <v>23</v>
      </c>
      <c r="F87" s="4" t="s">
        <v>238</v>
      </c>
      <c r="G87" s="4"/>
      <c r="H87" s="4">
        <v>110120</v>
      </c>
      <c r="I87" s="4" t="s">
        <v>22</v>
      </c>
      <c r="J87" s="4">
        <v>1</v>
      </c>
      <c r="K87" s="4"/>
      <c r="L87" s="4" t="str" cm="1">
        <f t="array" ref="L87">_xlfn.IFS(E87&gt;=40,"Senior",E87&gt;=30,"Menior",E87&lt;30,"Fresher")</f>
        <v>Fresher</v>
      </c>
      <c r="M87" s="4" t="str" cm="1">
        <f t="array" ref="M87">_xlfn.IFS(J87&gt;4,"High rating",J87&gt;=3,"Medium rating",J87&lt;3,"Low rating")</f>
        <v>Low rating</v>
      </c>
      <c r="N87" s="4"/>
      <c r="O87">
        <v>2019</v>
      </c>
    </row>
    <row r="88" spans="1:15" x14ac:dyDescent="0.25">
      <c r="A88" s="4" t="s">
        <v>239</v>
      </c>
      <c r="B88" s="4" t="s">
        <v>37</v>
      </c>
      <c r="C88" s="4" t="s">
        <v>34</v>
      </c>
      <c r="D88" s="4" t="s">
        <v>20</v>
      </c>
      <c r="E88" s="4">
        <v>25</v>
      </c>
      <c r="F88" s="4" t="s">
        <v>240</v>
      </c>
      <c r="G88" s="4" t="s">
        <v>241</v>
      </c>
      <c r="H88" s="4">
        <v>96309</v>
      </c>
      <c r="I88" s="4" t="s">
        <v>16</v>
      </c>
      <c r="J88" s="4">
        <v>2</v>
      </c>
      <c r="K88" s="4">
        <f t="shared" si="2"/>
        <v>1.0849315068493151</v>
      </c>
      <c r="L88" s="4" t="str" cm="1">
        <f t="array" ref="L88">_xlfn.IFS(E88&gt;=40,"Senior",E88&gt;=30,"Menior",E88&lt;30,"Fresher")</f>
        <v>Fresher</v>
      </c>
      <c r="M88" s="4" t="str" cm="1">
        <f t="array" ref="M88">_xlfn.IFS(J88&gt;4,"High rating",J88&gt;=3,"Medium rating",J88&lt;3,"Low rating")</f>
        <v>Low rating</v>
      </c>
      <c r="N88" s="4" t="str">
        <f t="shared" si="3"/>
        <v>yes</v>
      </c>
      <c r="O88">
        <v>2015</v>
      </c>
    </row>
    <row r="89" spans="1:15" x14ac:dyDescent="0.25">
      <c r="A89" s="4" t="s">
        <v>242</v>
      </c>
      <c r="B89" s="4" t="s">
        <v>52</v>
      </c>
      <c r="C89" s="4" t="s">
        <v>34</v>
      </c>
      <c r="D89" s="4" t="s">
        <v>20</v>
      </c>
      <c r="E89" s="4">
        <v>31</v>
      </c>
      <c r="F89" s="4" t="s">
        <v>243</v>
      </c>
      <c r="G89" s="4"/>
      <c r="H89" s="4">
        <v>49386</v>
      </c>
      <c r="I89" s="4" t="s">
        <v>22</v>
      </c>
      <c r="J89" s="4">
        <v>1</v>
      </c>
      <c r="K89" s="4"/>
      <c r="L89" s="4" t="str" cm="1">
        <f t="array" ref="L89">_xlfn.IFS(E89&gt;=40,"Senior",E89&gt;=30,"Menior",E89&lt;30,"Fresher")</f>
        <v>Menior</v>
      </c>
      <c r="M89" s="4" t="str" cm="1">
        <f t="array" ref="M89">_xlfn.IFS(J89&gt;4,"High rating",J89&gt;=3,"Medium rating",J89&lt;3,"Low rating")</f>
        <v>Low rating</v>
      </c>
      <c r="N89" s="4"/>
      <c r="O89">
        <v>2022</v>
      </c>
    </row>
    <row r="90" spans="1:15" x14ac:dyDescent="0.25">
      <c r="A90" s="4" t="s">
        <v>244</v>
      </c>
      <c r="B90" s="4" t="s">
        <v>18</v>
      </c>
      <c r="C90" s="4" t="s">
        <v>34</v>
      </c>
      <c r="D90" s="4" t="s">
        <v>20</v>
      </c>
      <c r="E90" s="4">
        <v>29</v>
      </c>
      <c r="F90" s="4" t="s">
        <v>245</v>
      </c>
      <c r="G90" s="4"/>
      <c r="H90" s="4">
        <v>106360</v>
      </c>
      <c r="I90" s="4" t="s">
        <v>22</v>
      </c>
      <c r="J90" s="4">
        <v>1</v>
      </c>
      <c r="K90" s="4"/>
      <c r="L90" s="4" t="str" cm="1">
        <f t="array" ref="L90">_xlfn.IFS(E90&gt;=40,"Senior",E90&gt;=30,"Menior",E90&lt;30,"Fresher")</f>
        <v>Fresher</v>
      </c>
      <c r="M90" s="4" t="str" cm="1">
        <f t="array" ref="M90">_xlfn.IFS(J90&gt;4,"High rating",J90&gt;=3,"Medium rating",J90&lt;3,"Low rating")</f>
        <v>Low rating</v>
      </c>
      <c r="N90" s="4"/>
      <c r="O90">
        <v>2019</v>
      </c>
    </row>
    <row r="91" spans="1:15" x14ac:dyDescent="0.25">
      <c r="A91" s="4" t="s">
        <v>246</v>
      </c>
      <c r="B91" s="4" t="s">
        <v>33</v>
      </c>
      <c r="C91" s="4" t="s">
        <v>19</v>
      </c>
      <c r="D91" s="4" t="s">
        <v>20</v>
      </c>
      <c r="E91" s="4">
        <v>49</v>
      </c>
      <c r="F91" s="4" t="s">
        <v>247</v>
      </c>
      <c r="G91" s="4" t="s">
        <v>248</v>
      </c>
      <c r="H91" s="4">
        <v>66746</v>
      </c>
      <c r="I91" s="4" t="s">
        <v>16</v>
      </c>
      <c r="J91" s="4">
        <v>2</v>
      </c>
      <c r="K91" s="4">
        <f t="shared" si="2"/>
        <v>1.9424657534246574</v>
      </c>
      <c r="L91" s="4" t="str" cm="1">
        <f t="array" ref="L91">_xlfn.IFS(E91&gt;=40,"Senior",E91&gt;=30,"Menior",E91&lt;30,"Fresher")</f>
        <v>Senior</v>
      </c>
      <c r="M91" s="4" t="str" cm="1">
        <f t="array" ref="M91">_xlfn.IFS(J91&gt;4,"High rating",J91&gt;=3,"Medium rating",J91&lt;3,"Low rating")</f>
        <v>Low rating</v>
      </c>
      <c r="N91" s="4" t="str">
        <f t="shared" si="3"/>
        <v>yes</v>
      </c>
      <c r="O91">
        <v>2018</v>
      </c>
    </row>
    <row r="92" spans="1:15" x14ac:dyDescent="0.25">
      <c r="A92" s="4" t="s">
        <v>249</v>
      </c>
      <c r="B92" s="4" t="s">
        <v>44</v>
      </c>
      <c r="C92" s="4" t="s">
        <v>19</v>
      </c>
      <c r="D92" s="4" t="s">
        <v>20</v>
      </c>
      <c r="E92" s="4">
        <v>30</v>
      </c>
      <c r="F92" s="4" t="s">
        <v>250</v>
      </c>
      <c r="G92" s="4" t="s">
        <v>251</v>
      </c>
      <c r="H92" s="4">
        <v>25329</v>
      </c>
      <c r="I92" s="4" t="s">
        <v>16</v>
      </c>
      <c r="J92" s="4">
        <v>1</v>
      </c>
      <c r="K92" s="4">
        <f t="shared" si="2"/>
        <v>3.1397260273972605</v>
      </c>
      <c r="L92" s="4" t="str" cm="1">
        <f t="array" ref="L92">_xlfn.IFS(E92&gt;=40,"Senior",E92&gt;=30,"Menior",E92&lt;30,"Fresher")</f>
        <v>Menior</v>
      </c>
      <c r="M92" s="4" t="str" cm="1">
        <f t="array" ref="M92">_xlfn.IFS(J92&gt;4,"High rating",J92&gt;=3,"Medium rating",J92&lt;3,"Low rating")</f>
        <v>Low rating</v>
      </c>
      <c r="N92" s="4" t="str">
        <f t="shared" si="3"/>
        <v>no</v>
      </c>
      <c r="O92">
        <v>2018</v>
      </c>
    </row>
    <row r="93" spans="1:15" x14ac:dyDescent="0.25">
      <c r="A93" s="4" t="s">
        <v>252</v>
      </c>
      <c r="B93" s="4" t="s">
        <v>83</v>
      </c>
      <c r="C93" s="4" t="s">
        <v>19</v>
      </c>
      <c r="D93" s="4" t="s">
        <v>13</v>
      </c>
      <c r="E93" s="4">
        <v>27</v>
      </c>
      <c r="F93" s="4" t="s">
        <v>253</v>
      </c>
      <c r="G93" s="4"/>
      <c r="H93" s="4">
        <v>90975</v>
      </c>
      <c r="I93" s="4" t="s">
        <v>22</v>
      </c>
      <c r="J93" s="4">
        <v>3</v>
      </c>
      <c r="K93" s="4"/>
      <c r="L93" s="4" t="str" cm="1">
        <f t="array" ref="L93">_xlfn.IFS(E93&gt;=40,"Senior",E93&gt;=30,"Menior",E93&lt;30,"Fresher")</f>
        <v>Fresher</v>
      </c>
      <c r="M93" s="4" t="str" cm="1">
        <f t="array" ref="M93">_xlfn.IFS(J93&gt;4,"High rating",J93&gt;=3,"Medium rating",J93&lt;3,"Low rating")</f>
        <v>Medium rating</v>
      </c>
      <c r="N93" s="4"/>
      <c r="O93">
        <v>2022</v>
      </c>
    </row>
    <row r="94" spans="1:15" x14ac:dyDescent="0.25">
      <c r="A94" s="4" t="s">
        <v>254</v>
      </c>
      <c r="B94" s="4" t="s">
        <v>58</v>
      </c>
      <c r="C94" s="4" t="s">
        <v>12</v>
      </c>
      <c r="D94" s="4" t="s">
        <v>13</v>
      </c>
      <c r="E94" s="4">
        <v>47</v>
      </c>
      <c r="F94" s="4" t="s">
        <v>255</v>
      </c>
      <c r="G94" s="4"/>
      <c r="H94" s="4">
        <v>109016</v>
      </c>
      <c r="I94" s="4" t="s">
        <v>22</v>
      </c>
      <c r="J94" s="4">
        <v>1</v>
      </c>
      <c r="K94" s="4"/>
      <c r="L94" s="4" t="str" cm="1">
        <f t="array" ref="L94">_xlfn.IFS(E94&gt;=40,"Senior",E94&gt;=30,"Menior",E94&lt;30,"Fresher")</f>
        <v>Senior</v>
      </c>
      <c r="M94" s="4" t="str" cm="1">
        <f t="array" ref="M94">_xlfn.IFS(J94&gt;4,"High rating",J94&gt;=3,"Medium rating",J94&lt;3,"Low rating")</f>
        <v>Low rating</v>
      </c>
      <c r="N94" s="4"/>
      <c r="O94">
        <v>2022</v>
      </c>
    </row>
    <row r="95" spans="1:15" x14ac:dyDescent="0.25">
      <c r="A95" s="4" t="s">
        <v>256</v>
      </c>
      <c r="B95" s="4" t="s">
        <v>44</v>
      </c>
      <c r="C95" s="4" t="s">
        <v>34</v>
      </c>
      <c r="D95" s="4" t="s">
        <v>13</v>
      </c>
      <c r="E95" s="4">
        <v>28</v>
      </c>
      <c r="F95" s="4" t="s">
        <v>257</v>
      </c>
      <c r="G95" s="4" t="s">
        <v>258</v>
      </c>
      <c r="H95" s="4">
        <v>75189</v>
      </c>
      <c r="I95" s="4" t="s">
        <v>16</v>
      </c>
      <c r="J95" s="4">
        <v>3</v>
      </c>
      <c r="K95" s="4">
        <f t="shared" si="2"/>
        <v>3.6904109589041094</v>
      </c>
      <c r="L95" s="4" t="str" cm="1">
        <f t="array" ref="L95">_xlfn.IFS(E95&gt;=40,"Senior",E95&gt;=30,"Menior",E95&lt;30,"Fresher")</f>
        <v>Fresher</v>
      </c>
      <c r="M95" s="4" t="str" cm="1">
        <f t="array" ref="M95">_xlfn.IFS(J95&gt;4,"High rating",J95&gt;=3,"Medium rating",J95&lt;3,"Low rating")</f>
        <v>Medium rating</v>
      </c>
      <c r="N95" s="4" t="str">
        <f t="shared" si="3"/>
        <v>no</v>
      </c>
      <c r="O95">
        <v>2021</v>
      </c>
    </row>
    <row r="96" spans="1:15" x14ac:dyDescent="0.25">
      <c r="A96" s="4" t="s">
        <v>259</v>
      </c>
      <c r="B96" s="4" t="s">
        <v>52</v>
      </c>
      <c r="C96" s="4" t="s">
        <v>27</v>
      </c>
      <c r="D96" s="4" t="s">
        <v>13</v>
      </c>
      <c r="E96" s="4">
        <v>28</v>
      </c>
      <c r="F96" s="4" t="s">
        <v>260</v>
      </c>
      <c r="G96" s="4" t="s">
        <v>261</v>
      </c>
      <c r="H96" s="4">
        <v>97771</v>
      </c>
      <c r="I96" s="4" t="s">
        <v>16</v>
      </c>
      <c r="J96" s="4">
        <v>1</v>
      </c>
      <c r="K96" s="4">
        <f t="shared" si="2"/>
        <v>0.11780821917808219</v>
      </c>
      <c r="L96" s="4" t="str" cm="1">
        <f t="array" ref="L96">_xlfn.IFS(E96&gt;=40,"Senior",E96&gt;=30,"Menior",E96&lt;30,"Fresher")</f>
        <v>Fresher</v>
      </c>
      <c r="M96" s="4" t="str" cm="1">
        <f t="array" ref="M96">_xlfn.IFS(J96&gt;4,"High rating",J96&gt;=3,"Medium rating",J96&lt;3,"Low rating")</f>
        <v>Low rating</v>
      </c>
      <c r="N96" s="4" t="str">
        <f t="shared" si="3"/>
        <v>yes</v>
      </c>
      <c r="O96">
        <v>2016</v>
      </c>
    </row>
    <row r="97" spans="1:15" x14ac:dyDescent="0.25">
      <c r="A97" s="4" t="s">
        <v>262</v>
      </c>
      <c r="B97" s="4" t="s">
        <v>40</v>
      </c>
      <c r="C97" s="4" t="s">
        <v>19</v>
      </c>
      <c r="D97" s="4" t="s">
        <v>20</v>
      </c>
      <c r="E97" s="4">
        <v>35</v>
      </c>
      <c r="F97" s="4" t="s">
        <v>263</v>
      </c>
      <c r="G97" s="4" t="s">
        <v>264</v>
      </c>
      <c r="H97" s="4">
        <v>34368</v>
      </c>
      <c r="I97" s="4" t="s">
        <v>16</v>
      </c>
      <c r="J97" s="4">
        <v>5</v>
      </c>
      <c r="K97" s="4">
        <f t="shared" si="2"/>
        <v>1.2876712328767124</v>
      </c>
      <c r="L97" s="4" t="str" cm="1">
        <f t="array" ref="L97">_xlfn.IFS(E97&gt;=40,"Senior",E97&gt;=30,"Menior",E97&lt;30,"Fresher")</f>
        <v>Menior</v>
      </c>
      <c r="M97" s="4" t="str" cm="1">
        <f t="array" ref="M97">_xlfn.IFS(J97&gt;4,"High rating",J97&gt;=3,"Medium rating",J97&lt;3,"Low rating")</f>
        <v>High rating</v>
      </c>
      <c r="N97" s="4" t="str">
        <f t="shared" si="3"/>
        <v>yes</v>
      </c>
      <c r="O97">
        <v>2017</v>
      </c>
    </row>
    <row r="98" spans="1:15" x14ac:dyDescent="0.25">
      <c r="A98" s="4" t="s">
        <v>265</v>
      </c>
      <c r="B98" s="4" t="s">
        <v>52</v>
      </c>
      <c r="C98" s="4" t="s">
        <v>24</v>
      </c>
      <c r="D98" s="4" t="s">
        <v>20</v>
      </c>
      <c r="E98" s="4">
        <v>29</v>
      </c>
      <c r="F98" s="4" t="s">
        <v>266</v>
      </c>
      <c r="G98" s="4" t="s">
        <v>267</v>
      </c>
      <c r="H98" s="4">
        <v>45093</v>
      </c>
      <c r="I98" s="4" t="s">
        <v>16</v>
      </c>
      <c r="J98" s="4">
        <v>3</v>
      </c>
      <c r="K98" s="4">
        <f t="shared" si="2"/>
        <v>1.6219178082191781</v>
      </c>
      <c r="L98" s="4" t="str" cm="1">
        <f t="array" ref="L98">_xlfn.IFS(E98&gt;=40,"Senior",E98&gt;=30,"Menior",E98&lt;30,"Fresher")</f>
        <v>Fresher</v>
      </c>
      <c r="M98" s="4" t="str" cm="1">
        <f t="array" ref="M98">_xlfn.IFS(J98&gt;4,"High rating",J98&gt;=3,"Medium rating",J98&lt;3,"Low rating")</f>
        <v>Medium rating</v>
      </c>
      <c r="N98" s="4" t="str">
        <f t="shared" si="3"/>
        <v>yes</v>
      </c>
      <c r="O98">
        <v>2020</v>
      </c>
    </row>
    <row r="99" spans="1:15" x14ac:dyDescent="0.25">
      <c r="A99" s="4" t="s">
        <v>268</v>
      </c>
      <c r="B99" s="4" t="s">
        <v>37</v>
      </c>
      <c r="C99" s="4" t="s">
        <v>19</v>
      </c>
      <c r="D99" s="4" t="s">
        <v>20</v>
      </c>
      <c r="E99" s="4">
        <v>32</v>
      </c>
      <c r="F99" s="4" t="s">
        <v>269</v>
      </c>
      <c r="G99" s="4" t="s">
        <v>270</v>
      </c>
      <c r="H99" s="4">
        <v>84435</v>
      </c>
      <c r="I99" s="4" t="s">
        <v>16</v>
      </c>
      <c r="J99" s="4">
        <v>2</v>
      </c>
      <c r="K99" s="4">
        <f t="shared" si="2"/>
        <v>2.3287671232876712</v>
      </c>
      <c r="L99" s="4" t="str" cm="1">
        <f t="array" ref="L99">_xlfn.IFS(E99&gt;=40,"Senior",E99&gt;=30,"Menior",E99&lt;30,"Fresher")</f>
        <v>Menior</v>
      </c>
      <c r="M99" s="4" t="str" cm="1">
        <f t="array" ref="M99">_xlfn.IFS(J99&gt;4,"High rating",J99&gt;=3,"Medium rating",J99&lt;3,"Low rating")</f>
        <v>Low rating</v>
      </c>
      <c r="N99" s="4" t="str">
        <f t="shared" si="3"/>
        <v>no</v>
      </c>
      <c r="O99">
        <v>2022</v>
      </c>
    </row>
    <row r="100" spans="1:15" x14ac:dyDescent="0.25">
      <c r="A100" s="4" t="s">
        <v>271</v>
      </c>
      <c r="B100" s="4" t="s">
        <v>73</v>
      </c>
      <c r="C100" s="4" t="s">
        <v>24</v>
      </c>
      <c r="D100" s="4" t="s">
        <v>13</v>
      </c>
      <c r="E100" s="4">
        <v>24</v>
      </c>
      <c r="F100" s="4" t="s">
        <v>272</v>
      </c>
      <c r="G100" s="4"/>
      <c r="H100" s="4">
        <v>26663</v>
      </c>
      <c r="I100" s="4" t="s">
        <v>22</v>
      </c>
      <c r="J100" s="4">
        <v>3</v>
      </c>
      <c r="K100" s="4"/>
      <c r="L100" s="4" t="str" cm="1">
        <f t="array" ref="L100">_xlfn.IFS(E100&gt;=40,"Senior",E100&gt;=30,"Menior",E100&lt;30,"Fresher")</f>
        <v>Fresher</v>
      </c>
      <c r="M100" s="4" t="str" cm="1">
        <f t="array" ref="M100">_xlfn.IFS(J100&gt;4,"High rating",J100&gt;=3,"Medium rating",J100&lt;3,"Low rating")</f>
        <v>Medium rating</v>
      </c>
      <c r="N100" s="4"/>
      <c r="O100">
        <v>2017</v>
      </c>
    </row>
    <row r="101" spans="1:15" x14ac:dyDescent="0.25">
      <c r="A101" s="4" t="s">
        <v>273</v>
      </c>
      <c r="B101" s="4" t="s">
        <v>44</v>
      </c>
      <c r="C101" s="4" t="s">
        <v>24</v>
      </c>
      <c r="D101" s="4" t="s">
        <v>20</v>
      </c>
      <c r="E101" s="4">
        <v>30</v>
      </c>
      <c r="F101" s="4" t="s">
        <v>274</v>
      </c>
      <c r="G101" s="4"/>
      <c r="H101" s="4">
        <v>109325</v>
      </c>
      <c r="I101" s="4" t="s">
        <v>22</v>
      </c>
      <c r="J101" s="4">
        <v>3</v>
      </c>
      <c r="K101" s="4"/>
      <c r="L101" s="4" t="str" cm="1">
        <f t="array" ref="L101">_xlfn.IFS(E101&gt;=40,"Senior",E101&gt;=30,"Menior",E101&lt;30,"Fresher")</f>
        <v>Menior</v>
      </c>
      <c r="M101" s="4" t="str" cm="1">
        <f t="array" ref="M101">_xlfn.IFS(J101&gt;4,"High rating",J101&gt;=3,"Medium rating",J101&lt;3,"Low rating")</f>
        <v>Medium rating</v>
      </c>
      <c r="N101" s="4"/>
      <c r="O101">
        <v>2022</v>
      </c>
    </row>
    <row r="102" spans="1:15" x14ac:dyDescent="0.25">
      <c r="A102" s="4" t="s">
        <v>275</v>
      </c>
      <c r="B102" s="4" t="s">
        <v>18</v>
      </c>
      <c r="C102" s="4" t="s">
        <v>27</v>
      </c>
      <c r="D102" s="4" t="s">
        <v>13</v>
      </c>
      <c r="E102" s="4">
        <v>40</v>
      </c>
      <c r="F102" s="4" t="s">
        <v>276</v>
      </c>
      <c r="G102" s="4" t="s">
        <v>277</v>
      </c>
      <c r="H102" s="4">
        <v>98034</v>
      </c>
      <c r="I102" s="4" t="s">
        <v>16</v>
      </c>
      <c r="J102" s="4">
        <v>3</v>
      </c>
      <c r="K102" s="4">
        <f t="shared" si="2"/>
        <v>3.1917808219178081</v>
      </c>
      <c r="L102" s="4" t="str" cm="1">
        <f t="array" ref="L102">_xlfn.IFS(E102&gt;=40,"Senior",E102&gt;=30,"Menior",E102&lt;30,"Fresher")</f>
        <v>Senior</v>
      </c>
      <c r="M102" s="4" t="str" cm="1">
        <f t="array" ref="M102">_xlfn.IFS(J102&gt;4,"High rating",J102&gt;=3,"Medium rating",J102&lt;3,"Low rating")</f>
        <v>Medium rating</v>
      </c>
      <c r="N102" s="4" t="str">
        <f t="shared" si="3"/>
        <v>no</v>
      </c>
      <c r="O102">
        <v>2017</v>
      </c>
    </row>
    <row r="103" spans="1:15" x14ac:dyDescent="0.25">
      <c r="A103" s="4" t="s">
        <v>278</v>
      </c>
      <c r="B103" s="4" t="s">
        <v>33</v>
      </c>
      <c r="C103" s="4" t="s">
        <v>27</v>
      </c>
      <c r="D103" s="4" t="s">
        <v>20</v>
      </c>
      <c r="E103" s="4">
        <v>29</v>
      </c>
      <c r="F103" s="4" t="s">
        <v>279</v>
      </c>
      <c r="G103" s="4"/>
      <c r="H103" s="4">
        <v>100059</v>
      </c>
      <c r="I103" s="4" t="s">
        <v>22</v>
      </c>
      <c r="J103" s="4">
        <v>2</v>
      </c>
      <c r="K103" s="4"/>
      <c r="L103" s="4" t="str" cm="1">
        <f t="array" ref="L103">_xlfn.IFS(E103&gt;=40,"Senior",E103&gt;=30,"Menior",E103&lt;30,"Fresher")</f>
        <v>Fresher</v>
      </c>
      <c r="M103" s="4" t="str" cm="1">
        <f t="array" ref="M103">_xlfn.IFS(J103&gt;4,"High rating",J103&gt;=3,"Medium rating",J103&lt;3,"Low rating")</f>
        <v>Low rating</v>
      </c>
      <c r="N103" s="4"/>
      <c r="O103">
        <v>2015</v>
      </c>
    </row>
    <row r="104" spans="1:15" x14ac:dyDescent="0.25">
      <c r="A104" s="4" t="s">
        <v>280</v>
      </c>
      <c r="B104" s="4" t="s">
        <v>18</v>
      </c>
      <c r="C104" s="4" t="s">
        <v>24</v>
      </c>
      <c r="D104" s="4" t="s">
        <v>20</v>
      </c>
      <c r="E104" s="4">
        <v>49</v>
      </c>
      <c r="F104" s="4" t="s">
        <v>281</v>
      </c>
      <c r="G104" s="4"/>
      <c r="H104" s="4">
        <v>40376</v>
      </c>
      <c r="I104" s="4" t="s">
        <v>22</v>
      </c>
      <c r="J104" s="4">
        <v>5</v>
      </c>
      <c r="K104" s="4"/>
      <c r="L104" s="4" t="str" cm="1">
        <f t="array" ref="L104">_xlfn.IFS(E104&gt;=40,"Senior",E104&gt;=30,"Menior",E104&lt;30,"Fresher")</f>
        <v>Senior</v>
      </c>
      <c r="M104" s="4" t="str" cm="1">
        <f t="array" ref="M104">_xlfn.IFS(J104&gt;4,"High rating",J104&gt;=3,"Medium rating",J104&lt;3,"Low rating")</f>
        <v>High rating</v>
      </c>
      <c r="N104" s="4"/>
      <c r="O104">
        <v>2015</v>
      </c>
    </row>
    <row r="105" spans="1:15" x14ac:dyDescent="0.25">
      <c r="A105" s="4" t="s">
        <v>282</v>
      </c>
      <c r="B105" s="4" t="s">
        <v>73</v>
      </c>
      <c r="C105" s="4" t="s">
        <v>19</v>
      </c>
      <c r="D105" s="4" t="s">
        <v>13</v>
      </c>
      <c r="E105" s="4">
        <v>46</v>
      </c>
      <c r="F105" s="4" t="s">
        <v>283</v>
      </c>
      <c r="G105" s="4" t="s">
        <v>284</v>
      </c>
      <c r="H105" s="4">
        <v>70323</v>
      </c>
      <c r="I105" s="4" t="s">
        <v>16</v>
      </c>
      <c r="J105" s="4">
        <v>5</v>
      </c>
      <c r="K105" s="4">
        <f t="shared" si="2"/>
        <v>0.49315068493150682</v>
      </c>
      <c r="L105" s="4" t="str" cm="1">
        <f t="array" ref="L105">_xlfn.IFS(E105&gt;=40,"Senior",E105&gt;=30,"Menior",E105&lt;30,"Fresher")</f>
        <v>Senior</v>
      </c>
      <c r="M105" s="4" t="str" cm="1">
        <f t="array" ref="M105">_xlfn.IFS(J105&gt;4,"High rating",J105&gt;=3,"Medium rating",J105&lt;3,"Low rating")</f>
        <v>High rating</v>
      </c>
      <c r="N105" s="4" t="str">
        <f t="shared" si="3"/>
        <v>yes</v>
      </c>
      <c r="O105">
        <v>2017</v>
      </c>
    </row>
    <row r="106" spans="1:15" x14ac:dyDescent="0.25">
      <c r="A106" s="4" t="s">
        <v>285</v>
      </c>
      <c r="B106" s="4" t="s">
        <v>44</v>
      </c>
      <c r="C106" s="4" t="s">
        <v>27</v>
      </c>
      <c r="D106" s="4" t="s">
        <v>13</v>
      </c>
      <c r="E106" s="4">
        <v>43</v>
      </c>
      <c r="F106" s="4" t="s">
        <v>286</v>
      </c>
      <c r="G106" s="4" t="s">
        <v>287</v>
      </c>
      <c r="H106" s="4">
        <v>104735</v>
      </c>
      <c r="I106" s="4" t="s">
        <v>16</v>
      </c>
      <c r="J106" s="4">
        <v>1</v>
      </c>
      <c r="K106" s="4">
        <f t="shared" si="2"/>
        <v>0.18904109589041096</v>
      </c>
      <c r="L106" s="4" t="str" cm="1">
        <f t="array" ref="L106">_xlfn.IFS(E106&gt;=40,"Senior",E106&gt;=30,"Menior",E106&lt;30,"Fresher")</f>
        <v>Senior</v>
      </c>
      <c r="M106" s="4" t="str" cm="1">
        <f t="array" ref="M106">_xlfn.IFS(J106&gt;4,"High rating",J106&gt;=3,"Medium rating",J106&lt;3,"Low rating")</f>
        <v>Low rating</v>
      </c>
      <c r="N106" s="4" t="str">
        <f t="shared" si="3"/>
        <v>yes</v>
      </c>
      <c r="O106">
        <v>2015</v>
      </c>
    </row>
    <row r="107" spans="1:15" x14ac:dyDescent="0.25">
      <c r="A107" s="4" t="s">
        <v>288</v>
      </c>
      <c r="B107" s="4" t="s">
        <v>33</v>
      </c>
      <c r="C107" s="4" t="s">
        <v>24</v>
      </c>
      <c r="D107" s="4" t="s">
        <v>13</v>
      </c>
      <c r="E107" s="4">
        <v>46</v>
      </c>
      <c r="F107" s="4" t="s">
        <v>289</v>
      </c>
      <c r="G107" s="4"/>
      <c r="H107" s="4">
        <v>62368</v>
      </c>
      <c r="I107" s="4" t="s">
        <v>22</v>
      </c>
      <c r="J107" s="4">
        <v>1</v>
      </c>
      <c r="K107" s="4"/>
      <c r="L107" s="4" t="str" cm="1">
        <f t="array" ref="L107">_xlfn.IFS(E107&gt;=40,"Senior",E107&gt;=30,"Menior",E107&lt;30,"Fresher")</f>
        <v>Senior</v>
      </c>
      <c r="M107" s="4" t="str" cm="1">
        <f t="array" ref="M107">_xlfn.IFS(J107&gt;4,"High rating",J107&gt;=3,"Medium rating",J107&lt;3,"Low rating")</f>
        <v>Low rating</v>
      </c>
      <c r="N107" s="4"/>
      <c r="O107">
        <v>2018</v>
      </c>
    </row>
    <row r="108" spans="1:15" x14ac:dyDescent="0.25">
      <c r="A108" s="4" t="s">
        <v>290</v>
      </c>
      <c r="B108" s="4" t="s">
        <v>44</v>
      </c>
      <c r="C108" s="4" t="s">
        <v>34</v>
      </c>
      <c r="D108" s="4" t="s">
        <v>20</v>
      </c>
      <c r="E108" s="4">
        <v>22</v>
      </c>
      <c r="F108" s="4" t="s">
        <v>291</v>
      </c>
      <c r="G108" s="4"/>
      <c r="H108" s="4">
        <v>58755</v>
      </c>
      <c r="I108" s="4" t="s">
        <v>22</v>
      </c>
      <c r="J108" s="4">
        <v>3</v>
      </c>
      <c r="K108" s="4"/>
      <c r="L108" s="4" t="str" cm="1">
        <f t="array" ref="L108">_xlfn.IFS(E108&gt;=40,"Senior",E108&gt;=30,"Menior",E108&lt;30,"Fresher")</f>
        <v>Fresher</v>
      </c>
      <c r="M108" s="4" t="str" cm="1">
        <f t="array" ref="M108">_xlfn.IFS(J108&gt;4,"High rating",J108&gt;=3,"Medium rating",J108&lt;3,"Low rating")</f>
        <v>Medium rating</v>
      </c>
      <c r="N108" s="4"/>
      <c r="O108">
        <v>2019</v>
      </c>
    </row>
    <row r="109" spans="1:15" x14ac:dyDescent="0.25">
      <c r="A109" s="4" t="s">
        <v>292</v>
      </c>
      <c r="B109" s="4" t="s">
        <v>11</v>
      </c>
      <c r="C109" s="4" t="s">
        <v>12</v>
      </c>
      <c r="D109" s="4" t="s">
        <v>13</v>
      </c>
      <c r="E109" s="4">
        <v>33</v>
      </c>
      <c r="F109" s="4" t="s">
        <v>124</v>
      </c>
      <c r="G109" s="4"/>
      <c r="H109" s="4">
        <v>116105</v>
      </c>
      <c r="I109" s="4" t="s">
        <v>22</v>
      </c>
      <c r="J109" s="4">
        <v>3</v>
      </c>
      <c r="K109" s="4"/>
      <c r="L109" s="4" t="str" cm="1">
        <f t="array" ref="L109">_xlfn.IFS(E109&gt;=40,"Senior",E109&gt;=30,"Menior",E109&lt;30,"Fresher")</f>
        <v>Menior</v>
      </c>
      <c r="M109" s="4" t="str" cm="1">
        <f t="array" ref="M109">_xlfn.IFS(J109&gt;4,"High rating",J109&gt;=3,"Medium rating",J109&lt;3,"Low rating")</f>
        <v>Medium rating</v>
      </c>
      <c r="N109" s="4"/>
      <c r="O109">
        <v>2016</v>
      </c>
    </row>
    <row r="110" spans="1:15" x14ac:dyDescent="0.25">
      <c r="A110" s="4" t="s">
        <v>293</v>
      </c>
      <c r="B110" s="4" t="s">
        <v>58</v>
      </c>
      <c r="C110" s="4" t="s">
        <v>12</v>
      </c>
      <c r="D110" s="4" t="s">
        <v>20</v>
      </c>
      <c r="E110" s="4">
        <v>28</v>
      </c>
      <c r="F110" s="4" t="s">
        <v>294</v>
      </c>
      <c r="G110" s="4" t="s">
        <v>295</v>
      </c>
      <c r="H110" s="4">
        <v>79813</v>
      </c>
      <c r="I110" s="4" t="s">
        <v>16</v>
      </c>
      <c r="J110" s="4">
        <v>2</v>
      </c>
      <c r="K110" s="4">
        <f t="shared" si="2"/>
        <v>2.7917808219178082</v>
      </c>
      <c r="L110" s="4" t="str" cm="1">
        <f t="array" ref="L110">_xlfn.IFS(E110&gt;=40,"Senior",E110&gt;=30,"Menior",E110&lt;30,"Fresher")</f>
        <v>Fresher</v>
      </c>
      <c r="M110" s="4" t="str" cm="1">
        <f t="array" ref="M110">_xlfn.IFS(J110&gt;4,"High rating",J110&gt;=3,"Medium rating",J110&lt;3,"Low rating")</f>
        <v>Low rating</v>
      </c>
      <c r="N110" s="4" t="str">
        <f t="shared" si="3"/>
        <v>no</v>
      </c>
      <c r="O110">
        <v>2019</v>
      </c>
    </row>
    <row r="111" spans="1:15" x14ac:dyDescent="0.25">
      <c r="A111" s="4" t="s">
        <v>296</v>
      </c>
      <c r="B111" s="4" t="s">
        <v>44</v>
      </c>
      <c r="C111" s="4" t="s">
        <v>12</v>
      </c>
      <c r="D111" s="4" t="s">
        <v>13</v>
      </c>
      <c r="E111" s="4">
        <v>42</v>
      </c>
      <c r="F111" s="4" t="s">
        <v>297</v>
      </c>
      <c r="G111" s="4" t="s">
        <v>298</v>
      </c>
      <c r="H111" s="4">
        <v>81689</v>
      </c>
      <c r="I111" s="4" t="s">
        <v>16</v>
      </c>
      <c r="J111" s="4">
        <v>2</v>
      </c>
      <c r="K111" s="4">
        <f t="shared" si="2"/>
        <v>2.1452054794520548</v>
      </c>
      <c r="L111" s="4" t="str" cm="1">
        <f t="array" ref="L111">_xlfn.IFS(E111&gt;=40,"Senior",E111&gt;=30,"Menior",E111&lt;30,"Fresher")</f>
        <v>Senior</v>
      </c>
      <c r="M111" s="4" t="str" cm="1">
        <f t="array" ref="M111">_xlfn.IFS(J111&gt;4,"High rating",J111&gt;=3,"Medium rating",J111&lt;3,"Low rating")</f>
        <v>Low rating</v>
      </c>
      <c r="N111" s="4" t="str">
        <f t="shared" si="3"/>
        <v>no</v>
      </c>
      <c r="O111">
        <v>2015</v>
      </c>
    </row>
    <row r="112" spans="1:15" x14ac:dyDescent="0.25">
      <c r="A112" s="4" t="s">
        <v>299</v>
      </c>
      <c r="B112" s="4" t="s">
        <v>11</v>
      </c>
      <c r="C112" s="4" t="s">
        <v>19</v>
      </c>
      <c r="D112" s="4" t="s">
        <v>13</v>
      </c>
      <c r="E112" s="4">
        <v>39</v>
      </c>
      <c r="F112" s="4" t="s">
        <v>300</v>
      </c>
      <c r="G112" s="4"/>
      <c r="H112" s="4">
        <v>55203</v>
      </c>
      <c r="I112" s="4" t="s">
        <v>22</v>
      </c>
      <c r="J112" s="4">
        <v>5</v>
      </c>
      <c r="K112" s="4"/>
      <c r="L112" s="4" t="str" cm="1">
        <f t="array" ref="L112">_xlfn.IFS(E112&gt;=40,"Senior",E112&gt;=30,"Menior",E112&lt;30,"Fresher")</f>
        <v>Menior</v>
      </c>
      <c r="M112" s="4" t="str" cm="1">
        <f t="array" ref="M112">_xlfn.IFS(J112&gt;4,"High rating",J112&gt;=3,"Medium rating",J112&lt;3,"Low rating")</f>
        <v>High rating</v>
      </c>
      <c r="N112" s="4"/>
      <c r="O112">
        <v>2016</v>
      </c>
    </row>
    <row r="113" spans="1:15" x14ac:dyDescent="0.25">
      <c r="A113" s="4" t="s">
        <v>301</v>
      </c>
      <c r="B113" s="4" t="s">
        <v>33</v>
      </c>
      <c r="C113" s="4" t="s">
        <v>12</v>
      </c>
      <c r="D113" s="4" t="s">
        <v>20</v>
      </c>
      <c r="E113" s="4">
        <v>48</v>
      </c>
      <c r="F113" s="4" t="s">
        <v>302</v>
      </c>
      <c r="G113" s="4"/>
      <c r="H113" s="4">
        <v>54684</v>
      </c>
      <c r="I113" s="4" t="s">
        <v>22</v>
      </c>
      <c r="J113" s="4">
        <v>2</v>
      </c>
      <c r="K113" s="4"/>
      <c r="L113" s="4" t="str" cm="1">
        <f t="array" ref="L113">_xlfn.IFS(E113&gt;=40,"Senior",E113&gt;=30,"Menior",E113&lt;30,"Fresher")</f>
        <v>Senior</v>
      </c>
      <c r="M113" s="4" t="str" cm="1">
        <f t="array" ref="M113">_xlfn.IFS(J113&gt;4,"High rating",J113&gt;=3,"Medium rating",J113&lt;3,"Low rating")</f>
        <v>Low rating</v>
      </c>
      <c r="N113" s="4"/>
      <c r="O113">
        <v>2021</v>
      </c>
    </row>
    <row r="114" spans="1:15" x14ac:dyDescent="0.25">
      <c r="A114" s="4" t="s">
        <v>303</v>
      </c>
      <c r="B114" s="4" t="s">
        <v>11</v>
      </c>
      <c r="C114" s="4" t="s">
        <v>27</v>
      </c>
      <c r="D114" s="4" t="s">
        <v>13</v>
      </c>
      <c r="E114" s="4">
        <v>42</v>
      </c>
      <c r="F114" s="4" t="s">
        <v>304</v>
      </c>
      <c r="G114" s="4"/>
      <c r="H114" s="4">
        <v>82753</v>
      </c>
      <c r="I114" s="4" t="s">
        <v>22</v>
      </c>
      <c r="J114" s="4">
        <v>1</v>
      </c>
      <c r="K114" s="4"/>
      <c r="L114" s="4" t="str" cm="1">
        <f t="array" ref="L114">_xlfn.IFS(E114&gt;=40,"Senior",E114&gt;=30,"Menior",E114&lt;30,"Fresher")</f>
        <v>Senior</v>
      </c>
      <c r="M114" s="4" t="str" cm="1">
        <f t="array" ref="M114">_xlfn.IFS(J114&gt;4,"High rating",J114&gt;=3,"Medium rating",J114&lt;3,"Low rating")</f>
        <v>Low rating</v>
      </c>
      <c r="N114" s="4"/>
      <c r="O114">
        <v>2021</v>
      </c>
    </row>
    <row r="115" spans="1:15" x14ac:dyDescent="0.25">
      <c r="A115" s="4" t="s">
        <v>305</v>
      </c>
      <c r="B115" s="4" t="s">
        <v>44</v>
      </c>
      <c r="C115" s="4" t="s">
        <v>27</v>
      </c>
      <c r="D115" s="4" t="s">
        <v>20</v>
      </c>
      <c r="E115" s="4">
        <v>25</v>
      </c>
      <c r="F115" s="4" t="s">
        <v>306</v>
      </c>
      <c r="G115" s="4"/>
      <c r="H115" s="4">
        <v>94703</v>
      </c>
      <c r="I115" s="4" t="s">
        <v>22</v>
      </c>
      <c r="J115" s="4">
        <v>4</v>
      </c>
      <c r="K115" s="4"/>
      <c r="L115" s="4" t="str" cm="1">
        <f t="array" ref="L115">_xlfn.IFS(E115&gt;=40,"Senior",E115&gt;=30,"Menior",E115&lt;30,"Fresher")</f>
        <v>Fresher</v>
      </c>
      <c r="M115" s="4" t="str" cm="1">
        <f t="array" ref="M115">_xlfn.IFS(J115&gt;4,"High rating",J115&gt;=3,"Medium rating",J115&lt;3,"Low rating")</f>
        <v>Medium rating</v>
      </c>
      <c r="N115" s="4"/>
      <c r="O115">
        <v>2018</v>
      </c>
    </row>
    <row r="116" spans="1:15" x14ac:dyDescent="0.25">
      <c r="A116" s="4" t="s">
        <v>307</v>
      </c>
      <c r="B116" s="4" t="s">
        <v>11</v>
      </c>
      <c r="C116" s="4" t="s">
        <v>19</v>
      </c>
      <c r="D116" s="4" t="s">
        <v>13</v>
      </c>
      <c r="E116" s="4">
        <v>23</v>
      </c>
      <c r="F116" s="4" t="s">
        <v>308</v>
      </c>
      <c r="G116" s="4" t="s">
        <v>309</v>
      </c>
      <c r="H116" s="4">
        <v>75513</v>
      </c>
      <c r="I116" s="4" t="s">
        <v>16</v>
      </c>
      <c r="J116" s="4">
        <v>2</v>
      </c>
      <c r="K116" s="4">
        <f t="shared" si="2"/>
        <v>2.1698630136986301</v>
      </c>
      <c r="L116" s="4" t="str" cm="1">
        <f t="array" ref="L116">_xlfn.IFS(E116&gt;=40,"Senior",E116&gt;=30,"Menior",E116&lt;30,"Fresher")</f>
        <v>Fresher</v>
      </c>
      <c r="M116" s="4" t="str" cm="1">
        <f t="array" ref="M116">_xlfn.IFS(J116&gt;4,"High rating",J116&gt;=3,"Medium rating",J116&lt;3,"Low rating")</f>
        <v>Low rating</v>
      </c>
      <c r="N116" s="4" t="str">
        <f t="shared" si="3"/>
        <v>no</v>
      </c>
      <c r="O116">
        <v>2021</v>
      </c>
    </row>
    <row r="117" spans="1:15" x14ac:dyDescent="0.25">
      <c r="A117" s="4" t="s">
        <v>310</v>
      </c>
      <c r="B117" s="4" t="s">
        <v>52</v>
      </c>
      <c r="C117" s="4" t="s">
        <v>12</v>
      </c>
      <c r="D117" s="4" t="s">
        <v>13</v>
      </c>
      <c r="E117" s="4">
        <v>31</v>
      </c>
      <c r="F117" s="4" t="s">
        <v>311</v>
      </c>
      <c r="G117" s="4"/>
      <c r="H117" s="4">
        <v>90928</v>
      </c>
      <c r="I117" s="4" t="s">
        <v>22</v>
      </c>
      <c r="J117" s="4">
        <v>2</v>
      </c>
      <c r="K117" s="4"/>
      <c r="L117" s="4" t="str" cm="1">
        <f t="array" ref="L117">_xlfn.IFS(E117&gt;=40,"Senior",E117&gt;=30,"Menior",E117&lt;30,"Fresher")</f>
        <v>Menior</v>
      </c>
      <c r="M117" s="4" t="str" cm="1">
        <f t="array" ref="M117">_xlfn.IFS(J117&gt;4,"High rating",J117&gt;=3,"Medium rating",J117&lt;3,"Low rating")</f>
        <v>Low rating</v>
      </c>
      <c r="N117" s="4"/>
      <c r="O117">
        <v>2016</v>
      </c>
    </row>
    <row r="118" spans="1:15" x14ac:dyDescent="0.25">
      <c r="A118" s="4" t="s">
        <v>312</v>
      </c>
      <c r="B118" s="4" t="s">
        <v>18</v>
      </c>
      <c r="C118" s="4" t="s">
        <v>34</v>
      </c>
      <c r="D118" s="4" t="s">
        <v>13</v>
      </c>
      <c r="E118" s="4">
        <v>37</v>
      </c>
      <c r="F118" s="4" t="s">
        <v>313</v>
      </c>
      <c r="G118" s="4"/>
      <c r="H118" s="4">
        <v>104554</v>
      </c>
      <c r="I118" s="4" t="s">
        <v>22</v>
      </c>
      <c r="J118" s="4">
        <v>1</v>
      </c>
      <c r="K118" s="4"/>
      <c r="L118" s="4" t="str" cm="1">
        <f t="array" ref="L118">_xlfn.IFS(E118&gt;=40,"Senior",E118&gt;=30,"Menior",E118&lt;30,"Fresher")</f>
        <v>Menior</v>
      </c>
      <c r="M118" s="4" t="str" cm="1">
        <f t="array" ref="M118">_xlfn.IFS(J118&gt;4,"High rating",J118&gt;=3,"Medium rating",J118&lt;3,"Low rating")</f>
        <v>Low rating</v>
      </c>
      <c r="N118" s="4"/>
      <c r="O118">
        <v>2021</v>
      </c>
    </row>
    <row r="119" spans="1:15" x14ac:dyDescent="0.25">
      <c r="A119" s="4" t="s">
        <v>314</v>
      </c>
      <c r="B119" s="4" t="s">
        <v>40</v>
      </c>
      <c r="C119" s="4" t="s">
        <v>24</v>
      </c>
      <c r="D119" s="4" t="s">
        <v>13</v>
      </c>
      <c r="E119" s="4">
        <v>40</v>
      </c>
      <c r="F119" s="4" t="s">
        <v>315</v>
      </c>
      <c r="G119" s="4" t="s">
        <v>316</v>
      </c>
      <c r="H119" s="4">
        <v>27003</v>
      </c>
      <c r="I119" s="4" t="s">
        <v>16</v>
      </c>
      <c r="J119" s="4">
        <v>3</v>
      </c>
      <c r="K119" s="4">
        <f t="shared" si="2"/>
        <v>1.5534246575342465</v>
      </c>
      <c r="L119" s="4" t="str" cm="1">
        <f t="array" ref="L119">_xlfn.IFS(E119&gt;=40,"Senior",E119&gt;=30,"Menior",E119&lt;30,"Fresher")</f>
        <v>Senior</v>
      </c>
      <c r="M119" s="4" t="str" cm="1">
        <f t="array" ref="M119">_xlfn.IFS(J119&gt;4,"High rating",J119&gt;=3,"Medium rating",J119&lt;3,"Low rating")</f>
        <v>Medium rating</v>
      </c>
      <c r="N119" s="4" t="str">
        <f t="shared" si="3"/>
        <v>yes</v>
      </c>
      <c r="O119">
        <v>2016</v>
      </c>
    </row>
    <row r="120" spans="1:15" x14ac:dyDescent="0.25">
      <c r="A120" s="4" t="s">
        <v>317</v>
      </c>
      <c r="B120" s="4" t="s">
        <v>83</v>
      </c>
      <c r="C120" s="4" t="s">
        <v>12</v>
      </c>
      <c r="D120" s="4" t="s">
        <v>20</v>
      </c>
      <c r="E120" s="4">
        <v>44</v>
      </c>
      <c r="F120" s="4" t="s">
        <v>318</v>
      </c>
      <c r="G120" s="4" t="s">
        <v>319</v>
      </c>
      <c r="H120" s="4">
        <v>42361</v>
      </c>
      <c r="I120" s="4" t="s">
        <v>16</v>
      </c>
      <c r="J120" s="4">
        <v>1</v>
      </c>
      <c r="K120" s="4">
        <f t="shared" si="2"/>
        <v>2.2958904109589042</v>
      </c>
      <c r="L120" s="4" t="str" cm="1">
        <f t="array" ref="L120">_xlfn.IFS(E120&gt;=40,"Senior",E120&gt;=30,"Menior",E120&lt;30,"Fresher")</f>
        <v>Senior</v>
      </c>
      <c r="M120" s="4" t="str" cm="1">
        <f t="array" ref="M120">_xlfn.IFS(J120&gt;4,"High rating",J120&gt;=3,"Medium rating",J120&lt;3,"Low rating")</f>
        <v>Low rating</v>
      </c>
      <c r="N120" s="4" t="str">
        <f t="shared" si="3"/>
        <v>no</v>
      </c>
      <c r="O120">
        <v>2017</v>
      </c>
    </row>
    <row r="121" spans="1:15" x14ac:dyDescent="0.25">
      <c r="A121" s="4" t="s">
        <v>320</v>
      </c>
      <c r="B121" s="4" t="s">
        <v>33</v>
      </c>
      <c r="C121" s="4" t="s">
        <v>34</v>
      </c>
      <c r="D121" s="4" t="s">
        <v>20</v>
      </c>
      <c r="E121" s="4">
        <v>43</v>
      </c>
      <c r="F121" s="4" t="s">
        <v>321</v>
      </c>
      <c r="G121" s="4" t="s">
        <v>322</v>
      </c>
      <c r="H121" s="4">
        <v>101559</v>
      </c>
      <c r="I121" s="4" t="s">
        <v>16</v>
      </c>
      <c r="J121" s="4">
        <v>2</v>
      </c>
      <c r="K121" s="4">
        <f t="shared" si="2"/>
        <v>0.47397260273972602</v>
      </c>
      <c r="L121" s="4" t="str" cm="1">
        <f t="array" ref="L121">_xlfn.IFS(E121&gt;=40,"Senior",E121&gt;=30,"Menior",E121&lt;30,"Fresher")</f>
        <v>Senior</v>
      </c>
      <c r="M121" s="4" t="str" cm="1">
        <f t="array" ref="M121">_xlfn.IFS(J121&gt;4,"High rating",J121&gt;=3,"Medium rating",J121&lt;3,"Low rating")</f>
        <v>Low rating</v>
      </c>
      <c r="N121" s="4" t="str">
        <f t="shared" si="3"/>
        <v>yes</v>
      </c>
      <c r="O121">
        <v>2018</v>
      </c>
    </row>
    <row r="122" spans="1:15" x14ac:dyDescent="0.25">
      <c r="A122" s="4" t="s">
        <v>323</v>
      </c>
      <c r="B122" s="4" t="s">
        <v>18</v>
      </c>
      <c r="C122" s="4" t="s">
        <v>27</v>
      </c>
      <c r="D122" s="4" t="s">
        <v>13</v>
      </c>
      <c r="E122" s="4">
        <v>34</v>
      </c>
      <c r="F122" s="4" t="s">
        <v>103</v>
      </c>
      <c r="G122" s="4"/>
      <c r="H122" s="4">
        <v>92786</v>
      </c>
      <c r="I122" s="4" t="s">
        <v>22</v>
      </c>
      <c r="J122" s="4">
        <v>5</v>
      </c>
      <c r="K122" s="4"/>
      <c r="L122" s="4" t="str" cm="1">
        <f t="array" ref="L122">_xlfn.IFS(E122&gt;=40,"Senior",E122&gt;=30,"Menior",E122&lt;30,"Fresher")</f>
        <v>Menior</v>
      </c>
      <c r="M122" s="4" t="str" cm="1">
        <f t="array" ref="M122">_xlfn.IFS(J122&gt;4,"High rating",J122&gt;=3,"Medium rating",J122&lt;3,"Low rating")</f>
        <v>High rating</v>
      </c>
      <c r="N122" s="4"/>
      <c r="O122">
        <v>2020</v>
      </c>
    </row>
    <row r="123" spans="1:15" x14ac:dyDescent="0.25">
      <c r="A123" s="4" t="s">
        <v>324</v>
      </c>
      <c r="B123" s="4" t="s">
        <v>73</v>
      </c>
      <c r="C123" s="4" t="s">
        <v>12</v>
      </c>
      <c r="D123" s="4" t="s">
        <v>13</v>
      </c>
      <c r="E123" s="4">
        <v>30</v>
      </c>
      <c r="F123" s="4" t="s">
        <v>325</v>
      </c>
      <c r="G123" s="4"/>
      <c r="H123" s="4">
        <v>92883</v>
      </c>
      <c r="I123" s="4" t="s">
        <v>22</v>
      </c>
      <c r="J123" s="4">
        <v>2</v>
      </c>
      <c r="K123" s="4"/>
      <c r="L123" s="4" t="str" cm="1">
        <f t="array" ref="L123">_xlfn.IFS(E123&gt;=40,"Senior",E123&gt;=30,"Menior",E123&lt;30,"Fresher")</f>
        <v>Menior</v>
      </c>
      <c r="M123" s="4" t="str" cm="1">
        <f t="array" ref="M123">_xlfn.IFS(J123&gt;4,"High rating",J123&gt;=3,"Medium rating",J123&lt;3,"Low rating")</f>
        <v>Low rating</v>
      </c>
      <c r="N123" s="4"/>
      <c r="O123">
        <v>2017</v>
      </c>
    </row>
    <row r="124" spans="1:15" x14ac:dyDescent="0.25">
      <c r="A124" s="4" t="s">
        <v>326</v>
      </c>
      <c r="B124" s="4" t="s">
        <v>18</v>
      </c>
      <c r="C124" s="4" t="s">
        <v>24</v>
      </c>
      <c r="D124" s="4" t="s">
        <v>20</v>
      </c>
      <c r="E124" s="4">
        <v>44</v>
      </c>
      <c r="F124" s="4" t="s">
        <v>327</v>
      </c>
      <c r="G124" s="4" t="s">
        <v>328</v>
      </c>
      <c r="H124" s="4">
        <v>75185</v>
      </c>
      <c r="I124" s="4" t="s">
        <v>16</v>
      </c>
      <c r="J124" s="4">
        <v>3</v>
      </c>
      <c r="K124" s="4">
        <f t="shared" si="2"/>
        <v>3.043835616438356</v>
      </c>
      <c r="L124" s="4" t="str" cm="1">
        <f t="array" ref="L124">_xlfn.IFS(E124&gt;=40,"Senior",E124&gt;=30,"Menior",E124&lt;30,"Fresher")</f>
        <v>Senior</v>
      </c>
      <c r="M124" s="4" t="str" cm="1">
        <f t="array" ref="M124">_xlfn.IFS(J124&gt;4,"High rating",J124&gt;=3,"Medium rating",J124&lt;3,"Low rating")</f>
        <v>Medium rating</v>
      </c>
      <c r="N124" s="4" t="str">
        <f t="shared" si="3"/>
        <v>no</v>
      </c>
      <c r="O124">
        <v>2018</v>
      </c>
    </row>
    <row r="125" spans="1:15" x14ac:dyDescent="0.25">
      <c r="A125" s="4" t="s">
        <v>329</v>
      </c>
      <c r="B125" s="4" t="s">
        <v>40</v>
      </c>
      <c r="C125" s="4" t="s">
        <v>27</v>
      </c>
      <c r="D125" s="4" t="s">
        <v>20</v>
      </c>
      <c r="E125" s="4">
        <v>38</v>
      </c>
      <c r="F125" s="4" t="s">
        <v>330</v>
      </c>
      <c r="G125" s="4" t="s">
        <v>331</v>
      </c>
      <c r="H125" s="4">
        <v>74932</v>
      </c>
      <c r="I125" s="4" t="s">
        <v>16</v>
      </c>
      <c r="J125" s="4">
        <v>1</v>
      </c>
      <c r="K125" s="4">
        <f t="shared" si="2"/>
        <v>2.2493150684931509</v>
      </c>
      <c r="L125" s="4" t="str" cm="1">
        <f t="array" ref="L125">_xlfn.IFS(E125&gt;=40,"Senior",E125&gt;=30,"Menior",E125&lt;30,"Fresher")</f>
        <v>Menior</v>
      </c>
      <c r="M125" s="4" t="str" cm="1">
        <f t="array" ref="M125">_xlfn.IFS(J125&gt;4,"High rating",J125&gt;=3,"Medium rating",J125&lt;3,"Low rating")</f>
        <v>Low rating</v>
      </c>
      <c r="N125" s="4" t="str">
        <f t="shared" si="3"/>
        <v>no</v>
      </c>
      <c r="O125">
        <v>2023</v>
      </c>
    </row>
    <row r="126" spans="1:15" x14ac:dyDescent="0.25">
      <c r="A126" s="4" t="s">
        <v>332</v>
      </c>
      <c r="B126" s="4" t="s">
        <v>37</v>
      </c>
      <c r="C126" s="4" t="s">
        <v>19</v>
      </c>
      <c r="D126" s="4" t="s">
        <v>20</v>
      </c>
      <c r="E126" s="4">
        <v>36</v>
      </c>
      <c r="F126" s="4" t="s">
        <v>333</v>
      </c>
      <c r="G126" s="4" t="s">
        <v>334</v>
      </c>
      <c r="H126" s="4">
        <v>74196</v>
      </c>
      <c r="I126" s="4" t="s">
        <v>16</v>
      </c>
      <c r="J126" s="4">
        <v>3</v>
      </c>
      <c r="K126" s="4">
        <f t="shared" si="2"/>
        <v>1.4931506849315068</v>
      </c>
      <c r="L126" s="4" t="str" cm="1">
        <f t="array" ref="L126">_xlfn.IFS(E126&gt;=40,"Senior",E126&gt;=30,"Menior",E126&lt;30,"Fresher")</f>
        <v>Menior</v>
      </c>
      <c r="M126" s="4" t="str" cm="1">
        <f t="array" ref="M126">_xlfn.IFS(J126&gt;4,"High rating",J126&gt;=3,"Medium rating",J126&lt;3,"Low rating")</f>
        <v>Medium rating</v>
      </c>
      <c r="N126" s="4" t="str">
        <f t="shared" si="3"/>
        <v>yes</v>
      </c>
      <c r="O126">
        <v>2018</v>
      </c>
    </row>
    <row r="127" spans="1:15" x14ac:dyDescent="0.25">
      <c r="A127" s="4" t="s">
        <v>335</v>
      </c>
      <c r="B127" s="4" t="s">
        <v>44</v>
      </c>
      <c r="C127" s="4" t="s">
        <v>24</v>
      </c>
      <c r="D127" s="4" t="s">
        <v>13</v>
      </c>
      <c r="E127" s="4">
        <v>22</v>
      </c>
      <c r="F127" s="4" t="s">
        <v>336</v>
      </c>
      <c r="G127" s="4"/>
      <c r="H127" s="4">
        <v>81319</v>
      </c>
      <c r="I127" s="4" t="s">
        <v>22</v>
      </c>
      <c r="J127" s="4">
        <v>5</v>
      </c>
      <c r="K127" s="4"/>
      <c r="L127" s="4" t="str" cm="1">
        <f t="array" ref="L127">_xlfn.IFS(E127&gt;=40,"Senior",E127&gt;=30,"Menior",E127&lt;30,"Fresher")</f>
        <v>Fresher</v>
      </c>
      <c r="M127" s="4" t="str" cm="1">
        <f t="array" ref="M127">_xlfn.IFS(J127&gt;4,"High rating",J127&gt;=3,"Medium rating",J127&lt;3,"Low rating")</f>
        <v>High rating</v>
      </c>
      <c r="N127" s="4"/>
      <c r="O127">
        <v>2021</v>
      </c>
    </row>
    <row r="128" spans="1:15" x14ac:dyDescent="0.25">
      <c r="A128" s="4" t="s">
        <v>337</v>
      </c>
      <c r="B128" s="4" t="s">
        <v>40</v>
      </c>
      <c r="C128" s="4" t="s">
        <v>24</v>
      </c>
      <c r="D128" s="4" t="s">
        <v>13</v>
      </c>
      <c r="E128" s="4">
        <v>37</v>
      </c>
      <c r="F128" s="4" t="s">
        <v>338</v>
      </c>
      <c r="G128" s="4" t="s">
        <v>339</v>
      </c>
      <c r="H128" s="4">
        <v>51650</v>
      </c>
      <c r="I128" s="4" t="s">
        <v>16</v>
      </c>
      <c r="J128" s="4">
        <v>4</v>
      </c>
      <c r="K128" s="4">
        <f t="shared" si="2"/>
        <v>0.9452054794520548</v>
      </c>
      <c r="L128" s="4" t="str" cm="1">
        <f t="array" ref="L128">_xlfn.IFS(E128&gt;=40,"Senior",E128&gt;=30,"Menior",E128&lt;30,"Fresher")</f>
        <v>Menior</v>
      </c>
      <c r="M128" s="4" t="str" cm="1">
        <f t="array" ref="M128">_xlfn.IFS(J128&gt;4,"High rating",J128&gt;=3,"Medium rating",J128&lt;3,"Low rating")</f>
        <v>Medium rating</v>
      </c>
      <c r="N128" s="4" t="str">
        <f t="shared" si="3"/>
        <v>yes</v>
      </c>
      <c r="O128">
        <v>2019</v>
      </c>
    </row>
    <row r="129" spans="1:15" x14ac:dyDescent="0.25">
      <c r="A129" s="4" t="s">
        <v>340</v>
      </c>
      <c r="B129" s="4" t="s">
        <v>58</v>
      </c>
      <c r="C129" s="4" t="s">
        <v>24</v>
      </c>
      <c r="D129" s="4" t="s">
        <v>20</v>
      </c>
      <c r="E129" s="4">
        <v>39</v>
      </c>
      <c r="F129" s="4" t="s">
        <v>341</v>
      </c>
      <c r="G129" s="4" t="s">
        <v>342</v>
      </c>
      <c r="H129" s="4">
        <v>97654</v>
      </c>
      <c r="I129" s="4" t="s">
        <v>16</v>
      </c>
      <c r="J129" s="4">
        <v>5</v>
      </c>
      <c r="K129" s="4">
        <f t="shared" si="2"/>
        <v>2.2794520547945205</v>
      </c>
      <c r="L129" s="4" t="str" cm="1">
        <f t="array" ref="L129">_xlfn.IFS(E129&gt;=40,"Senior",E129&gt;=30,"Menior",E129&lt;30,"Fresher")</f>
        <v>Menior</v>
      </c>
      <c r="M129" s="4" t="str" cm="1">
        <f t="array" ref="M129">_xlfn.IFS(J129&gt;4,"High rating",J129&gt;=3,"Medium rating",J129&lt;3,"Low rating")</f>
        <v>High rating</v>
      </c>
      <c r="N129" s="4" t="str">
        <f t="shared" si="3"/>
        <v>no</v>
      </c>
      <c r="O129">
        <v>2022</v>
      </c>
    </row>
    <row r="130" spans="1:15" x14ac:dyDescent="0.25">
      <c r="A130" s="4" t="s">
        <v>343</v>
      </c>
      <c r="B130" s="4" t="s">
        <v>18</v>
      </c>
      <c r="C130" s="4" t="s">
        <v>34</v>
      </c>
      <c r="D130" s="4" t="s">
        <v>13</v>
      </c>
      <c r="E130" s="4">
        <v>31</v>
      </c>
      <c r="F130" s="4" t="s">
        <v>105</v>
      </c>
      <c r="G130" s="4"/>
      <c r="H130" s="4">
        <v>65435</v>
      </c>
      <c r="I130" s="4" t="s">
        <v>22</v>
      </c>
      <c r="J130" s="4">
        <v>1</v>
      </c>
      <c r="K130" s="4"/>
      <c r="L130" s="4" t="str" cm="1">
        <f t="array" ref="L130">_xlfn.IFS(E130&gt;=40,"Senior",E130&gt;=30,"Menior",E130&lt;30,"Fresher")</f>
        <v>Menior</v>
      </c>
      <c r="M130" s="4" t="str" cm="1">
        <f t="array" ref="M130">_xlfn.IFS(J130&gt;4,"High rating",J130&gt;=3,"Medium rating",J130&lt;3,"Low rating")</f>
        <v>Low rating</v>
      </c>
      <c r="N130" s="4"/>
      <c r="O130">
        <v>2016</v>
      </c>
    </row>
    <row r="131" spans="1:15" x14ac:dyDescent="0.25">
      <c r="A131" s="4" t="s">
        <v>344</v>
      </c>
      <c r="B131" s="4" t="s">
        <v>33</v>
      </c>
      <c r="C131" s="4" t="s">
        <v>24</v>
      </c>
      <c r="D131" s="4" t="s">
        <v>13</v>
      </c>
      <c r="E131" s="4">
        <v>40</v>
      </c>
      <c r="F131" s="4" t="s">
        <v>345</v>
      </c>
      <c r="G131" s="4"/>
      <c r="H131" s="4">
        <v>28507</v>
      </c>
      <c r="I131" s="4" t="s">
        <v>22</v>
      </c>
      <c r="J131" s="4">
        <v>2</v>
      </c>
      <c r="K131" s="4"/>
      <c r="L131" s="4" t="str" cm="1">
        <f t="array" ref="L131">_xlfn.IFS(E131&gt;=40,"Senior",E131&gt;=30,"Menior",E131&lt;30,"Fresher")</f>
        <v>Senior</v>
      </c>
      <c r="M131" s="4" t="str" cm="1">
        <f t="array" ref="M131">_xlfn.IFS(J131&gt;4,"High rating",J131&gt;=3,"Medium rating",J131&lt;3,"Low rating")</f>
        <v>Low rating</v>
      </c>
      <c r="N131" s="4"/>
      <c r="O131">
        <v>2021</v>
      </c>
    </row>
    <row r="132" spans="1:15" x14ac:dyDescent="0.25">
      <c r="A132" s="4" t="s">
        <v>346</v>
      </c>
      <c r="B132" s="4" t="s">
        <v>33</v>
      </c>
      <c r="C132" s="4" t="s">
        <v>19</v>
      </c>
      <c r="D132" s="4" t="s">
        <v>13</v>
      </c>
      <c r="E132" s="4">
        <v>50</v>
      </c>
      <c r="F132" s="4" t="s">
        <v>347</v>
      </c>
      <c r="G132" s="4"/>
      <c r="H132" s="4">
        <v>36753</v>
      </c>
      <c r="I132" s="4" t="s">
        <v>22</v>
      </c>
      <c r="J132" s="4">
        <v>1</v>
      </c>
      <c r="K132" s="4"/>
      <c r="L132" s="4" t="str" cm="1">
        <f t="array" ref="L132">_xlfn.IFS(E132&gt;=40,"Senior",E132&gt;=30,"Menior",E132&lt;30,"Fresher")</f>
        <v>Senior</v>
      </c>
      <c r="M132" s="4" t="str" cm="1">
        <f t="array" ref="M132">_xlfn.IFS(J132&gt;4,"High rating",J132&gt;=3,"Medium rating",J132&lt;3,"Low rating")</f>
        <v>Low rating</v>
      </c>
      <c r="N132" s="4"/>
      <c r="O132">
        <v>2019</v>
      </c>
    </row>
    <row r="133" spans="1:15" x14ac:dyDescent="0.25">
      <c r="A133" s="4" t="s">
        <v>348</v>
      </c>
      <c r="B133" s="4" t="s">
        <v>11</v>
      </c>
      <c r="C133" s="4" t="s">
        <v>12</v>
      </c>
      <c r="D133" s="4" t="s">
        <v>20</v>
      </c>
      <c r="E133" s="4">
        <v>41</v>
      </c>
      <c r="F133" s="4" t="s">
        <v>349</v>
      </c>
      <c r="G133" s="4"/>
      <c r="H133" s="4">
        <v>67548</v>
      </c>
      <c r="I133" s="4" t="s">
        <v>22</v>
      </c>
      <c r="J133" s="4">
        <v>3</v>
      </c>
      <c r="K133" s="4"/>
      <c r="L133" s="4" t="str" cm="1">
        <f t="array" ref="L133">_xlfn.IFS(E133&gt;=40,"Senior",E133&gt;=30,"Menior",E133&lt;30,"Fresher")</f>
        <v>Senior</v>
      </c>
      <c r="M133" s="4" t="str" cm="1">
        <f t="array" ref="M133">_xlfn.IFS(J133&gt;4,"High rating",J133&gt;=3,"Medium rating",J133&lt;3,"Low rating")</f>
        <v>Medium rating</v>
      </c>
      <c r="N133" s="4"/>
      <c r="O133">
        <v>2015</v>
      </c>
    </row>
    <row r="134" spans="1:15" x14ac:dyDescent="0.25">
      <c r="A134" s="4" t="s">
        <v>350</v>
      </c>
      <c r="B134" s="4" t="s">
        <v>37</v>
      </c>
      <c r="C134" s="4" t="s">
        <v>12</v>
      </c>
      <c r="D134" s="4" t="s">
        <v>13</v>
      </c>
      <c r="E134" s="4">
        <v>26</v>
      </c>
      <c r="F134" s="4" t="s">
        <v>351</v>
      </c>
      <c r="G134" s="4"/>
      <c r="H134" s="4">
        <v>72601</v>
      </c>
      <c r="I134" s="4" t="s">
        <v>22</v>
      </c>
      <c r="J134" s="4">
        <v>4</v>
      </c>
      <c r="K134" s="4"/>
      <c r="L134" s="4" t="str" cm="1">
        <f t="array" ref="L134">_xlfn.IFS(E134&gt;=40,"Senior",E134&gt;=30,"Menior",E134&lt;30,"Fresher")</f>
        <v>Fresher</v>
      </c>
      <c r="M134" s="4" t="str" cm="1">
        <f t="array" ref="M134">_xlfn.IFS(J134&gt;4,"High rating",J134&gt;=3,"Medium rating",J134&lt;3,"Low rating")</f>
        <v>Medium rating</v>
      </c>
      <c r="N134" s="4"/>
      <c r="O134">
        <v>2021</v>
      </c>
    </row>
    <row r="135" spans="1:15" x14ac:dyDescent="0.25">
      <c r="A135" s="4" t="s">
        <v>352</v>
      </c>
      <c r="B135" s="4" t="s">
        <v>40</v>
      </c>
      <c r="C135" s="4" t="s">
        <v>24</v>
      </c>
      <c r="D135" s="4" t="s">
        <v>13</v>
      </c>
      <c r="E135" s="4">
        <v>31</v>
      </c>
      <c r="F135" s="4" t="s">
        <v>353</v>
      </c>
      <c r="G135" s="4"/>
      <c r="H135" s="4">
        <v>95174</v>
      </c>
      <c r="I135" s="4" t="s">
        <v>22</v>
      </c>
      <c r="J135" s="4">
        <v>2</v>
      </c>
      <c r="K135" s="4"/>
      <c r="L135" s="4" t="str" cm="1">
        <f t="array" ref="L135">_xlfn.IFS(E135&gt;=40,"Senior",E135&gt;=30,"Menior",E135&lt;30,"Fresher")</f>
        <v>Menior</v>
      </c>
      <c r="M135" s="4" t="str" cm="1">
        <f t="array" ref="M135">_xlfn.IFS(J135&gt;4,"High rating",J135&gt;=3,"Medium rating",J135&lt;3,"Low rating")</f>
        <v>Low rating</v>
      </c>
      <c r="N135" s="4"/>
      <c r="O135">
        <v>2018</v>
      </c>
    </row>
    <row r="136" spans="1:15" x14ac:dyDescent="0.25">
      <c r="A136" s="4" t="s">
        <v>354</v>
      </c>
      <c r="B136" s="4" t="s">
        <v>33</v>
      </c>
      <c r="C136" s="4" t="s">
        <v>24</v>
      </c>
      <c r="D136" s="4" t="s">
        <v>20</v>
      </c>
      <c r="E136" s="4">
        <v>48</v>
      </c>
      <c r="F136" s="4" t="s">
        <v>355</v>
      </c>
      <c r="G136" s="4" t="s">
        <v>356</v>
      </c>
      <c r="H136" s="4">
        <v>97888</v>
      </c>
      <c r="I136" s="4" t="s">
        <v>16</v>
      </c>
      <c r="J136" s="4">
        <v>2</v>
      </c>
      <c r="K136" s="4">
        <f t="shared" ref="K136:K192" si="4">(G136-F136)/365</f>
        <v>1.6547945205479453</v>
      </c>
      <c r="L136" s="4" t="str" cm="1">
        <f t="array" ref="L136">_xlfn.IFS(E136&gt;=40,"Senior",E136&gt;=30,"Menior",E136&lt;30,"Fresher")</f>
        <v>Senior</v>
      </c>
      <c r="M136" s="4" t="str" cm="1">
        <f t="array" ref="M136">_xlfn.IFS(J136&gt;4,"High rating",J136&gt;=3,"Medium rating",J136&lt;3,"Low rating")</f>
        <v>Low rating</v>
      </c>
      <c r="N136" s="4" t="str">
        <f t="shared" ref="N136:N192" si="5">IF(AND(G136&lt;&gt;"",DATEDIF(F136,G136,"y")&lt;2),"yes","no")</f>
        <v>yes</v>
      </c>
      <c r="O136">
        <v>2017</v>
      </c>
    </row>
    <row r="137" spans="1:15" x14ac:dyDescent="0.25">
      <c r="A137" s="4" t="s">
        <v>357</v>
      </c>
      <c r="B137" s="4" t="s">
        <v>52</v>
      </c>
      <c r="C137" s="4" t="s">
        <v>19</v>
      </c>
      <c r="D137" s="4" t="s">
        <v>13</v>
      </c>
      <c r="E137" s="4">
        <v>39</v>
      </c>
      <c r="F137" s="4" t="s">
        <v>358</v>
      </c>
      <c r="G137" s="4"/>
      <c r="H137" s="4">
        <v>115646</v>
      </c>
      <c r="I137" s="4" t="s">
        <v>22</v>
      </c>
      <c r="J137" s="4">
        <v>3</v>
      </c>
      <c r="K137" s="4"/>
      <c r="L137" s="4" t="str" cm="1">
        <f t="array" ref="L137">_xlfn.IFS(E137&gt;=40,"Senior",E137&gt;=30,"Menior",E137&lt;30,"Fresher")</f>
        <v>Menior</v>
      </c>
      <c r="M137" s="4" t="str" cm="1">
        <f t="array" ref="M137">_xlfn.IFS(J137&gt;4,"High rating",J137&gt;=3,"Medium rating",J137&lt;3,"Low rating")</f>
        <v>Medium rating</v>
      </c>
      <c r="N137" s="4"/>
      <c r="O137">
        <v>2022</v>
      </c>
    </row>
    <row r="138" spans="1:15" x14ac:dyDescent="0.25">
      <c r="A138" s="4" t="s">
        <v>359</v>
      </c>
      <c r="B138" s="4" t="s">
        <v>73</v>
      </c>
      <c r="C138" s="4" t="s">
        <v>19</v>
      </c>
      <c r="D138" s="4" t="s">
        <v>20</v>
      </c>
      <c r="E138" s="4">
        <v>49</v>
      </c>
      <c r="F138" s="4" t="s">
        <v>55</v>
      </c>
      <c r="G138" s="4" t="s">
        <v>360</v>
      </c>
      <c r="H138" s="4">
        <v>60520</v>
      </c>
      <c r="I138" s="4" t="s">
        <v>16</v>
      </c>
      <c r="J138" s="4">
        <v>1</v>
      </c>
      <c r="K138" s="4">
        <f t="shared" si="4"/>
        <v>1.6109589041095891</v>
      </c>
      <c r="L138" s="4" t="str" cm="1">
        <f t="array" ref="L138">_xlfn.IFS(E138&gt;=40,"Senior",E138&gt;=30,"Menior",E138&lt;30,"Fresher")</f>
        <v>Senior</v>
      </c>
      <c r="M138" s="4" t="str" cm="1">
        <f t="array" ref="M138">_xlfn.IFS(J138&gt;4,"High rating",J138&gt;=3,"Medium rating",J138&lt;3,"Low rating")</f>
        <v>Low rating</v>
      </c>
      <c r="N138" s="4" t="str">
        <f t="shared" si="5"/>
        <v>yes</v>
      </c>
      <c r="O138">
        <v>2016</v>
      </c>
    </row>
    <row r="139" spans="1:15" x14ac:dyDescent="0.25">
      <c r="A139" s="4" t="s">
        <v>361</v>
      </c>
      <c r="B139" s="4" t="s">
        <v>83</v>
      </c>
      <c r="C139" s="4" t="s">
        <v>27</v>
      </c>
      <c r="D139" s="4" t="s">
        <v>20</v>
      </c>
      <c r="E139" s="4">
        <v>33</v>
      </c>
      <c r="F139" s="4" t="s">
        <v>362</v>
      </c>
      <c r="G139" s="4" t="s">
        <v>363</v>
      </c>
      <c r="H139" s="4">
        <v>68788</v>
      </c>
      <c r="I139" s="4" t="s">
        <v>16</v>
      </c>
      <c r="J139" s="4">
        <v>4</v>
      </c>
      <c r="K139" s="4">
        <f t="shared" si="4"/>
        <v>2.3917808219178083</v>
      </c>
      <c r="L139" s="4" t="str" cm="1">
        <f t="array" ref="L139">_xlfn.IFS(E139&gt;=40,"Senior",E139&gt;=30,"Menior",E139&lt;30,"Fresher")</f>
        <v>Menior</v>
      </c>
      <c r="M139" s="4" t="str" cm="1">
        <f t="array" ref="M139">_xlfn.IFS(J139&gt;4,"High rating",J139&gt;=3,"Medium rating",J139&lt;3,"Low rating")</f>
        <v>Medium rating</v>
      </c>
      <c r="N139" s="4" t="str">
        <f t="shared" si="5"/>
        <v>no</v>
      </c>
      <c r="O139">
        <v>2023</v>
      </c>
    </row>
    <row r="140" spans="1:15" x14ac:dyDescent="0.25">
      <c r="A140" s="4" t="s">
        <v>364</v>
      </c>
      <c r="B140" s="4" t="s">
        <v>83</v>
      </c>
      <c r="C140" s="4" t="s">
        <v>24</v>
      </c>
      <c r="D140" s="4" t="s">
        <v>20</v>
      </c>
      <c r="E140" s="4">
        <v>25</v>
      </c>
      <c r="F140" s="4" t="s">
        <v>365</v>
      </c>
      <c r="G140" s="4"/>
      <c r="H140" s="4">
        <v>79105</v>
      </c>
      <c r="I140" s="4" t="s">
        <v>22</v>
      </c>
      <c r="J140" s="4">
        <v>3</v>
      </c>
      <c r="K140" s="4"/>
      <c r="L140" s="4" t="str" cm="1">
        <f t="array" ref="L140">_xlfn.IFS(E140&gt;=40,"Senior",E140&gt;=30,"Menior",E140&lt;30,"Fresher")</f>
        <v>Fresher</v>
      </c>
      <c r="M140" s="4" t="str" cm="1">
        <f t="array" ref="M140">_xlfn.IFS(J140&gt;4,"High rating",J140&gt;=3,"Medium rating",J140&lt;3,"Low rating")</f>
        <v>Medium rating</v>
      </c>
      <c r="N140" s="4"/>
      <c r="O140">
        <v>2016</v>
      </c>
    </row>
    <row r="141" spans="1:15" x14ac:dyDescent="0.25">
      <c r="A141" s="4" t="s">
        <v>366</v>
      </c>
      <c r="B141" s="4" t="s">
        <v>37</v>
      </c>
      <c r="C141" s="4" t="s">
        <v>24</v>
      </c>
      <c r="D141" s="4" t="s">
        <v>13</v>
      </c>
      <c r="E141" s="4">
        <v>28</v>
      </c>
      <c r="F141" s="4" t="s">
        <v>367</v>
      </c>
      <c r="G141" s="4"/>
      <c r="H141" s="4">
        <v>55472</v>
      </c>
      <c r="I141" s="4" t="s">
        <v>22</v>
      </c>
      <c r="J141" s="4">
        <v>3</v>
      </c>
      <c r="K141" s="4"/>
      <c r="L141" s="4" t="str" cm="1">
        <f t="array" ref="L141">_xlfn.IFS(E141&gt;=40,"Senior",E141&gt;=30,"Menior",E141&lt;30,"Fresher")</f>
        <v>Fresher</v>
      </c>
      <c r="M141" s="4" t="str" cm="1">
        <f t="array" ref="M141">_xlfn.IFS(J141&gt;4,"High rating",J141&gt;=3,"Medium rating",J141&lt;3,"Low rating")</f>
        <v>Medium rating</v>
      </c>
      <c r="N141" s="4"/>
      <c r="O141">
        <v>2017</v>
      </c>
    </row>
    <row r="142" spans="1:15" x14ac:dyDescent="0.25">
      <c r="A142" s="4" t="s">
        <v>368</v>
      </c>
      <c r="B142" s="4" t="s">
        <v>52</v>
      </c>
      <c r="C142" s="4" t="s">
        <v>19</v>
      </c>
      <c r="D142" s="4" t="s">
        <v>20</v>
      </c>
      <c r="E142" s="4">
        <v>48</v>
      </c>
      <c r="F142" s="4" t="s">
        <v>369</v>
      </c>
      <c r="G142" s="4" t="s">
        <v>370</v>
      </c>
      <c r="H142" s="4">
        <v>32338</v>
      </c>
      <c r="I142" s="4" t="s">
        <v>16</v>
      </c>
      <c r="J142" s="4">
        <v>3</v>
      </c>
      <c r="K142" s="4">
        <f t="shared" si="4"/>
        <v>2.1150684931506851</v>
      </c>
      <c r="L142" s="4" t="str" cm="1">
        <f t="array" ref="L142">_xlfn.IFS(E142&gt;=40,"Senior",E142&gt;=30,"Menior",E142&lt;30,"Fresher")</f>
        <v>Senior</v>
      </c>
      <c r="M142" s="4" t="str" cm="1">
        <f t="array" ref="M142">_xlfn.IFS(J142&gt;4,"High rating",J142&gt;=3,"Medium rating",J142&lt;3,"Low rating")</f>
        <v>Medium rating</v>
      </c>
      <c r="N142" s="4" t="str">
        <f t="shared" si="5"/>
        <v>no</v>
      </c>
      <c r="O142">
        <v>2021</v>
      </c>
    </row>
    <row r="143" spans="1:15" x14ac:dyDescent="0.25">
      <c r="A143" s="4" t="s">
        <v>371</v>
      </c>
      <c r="B143" s="4" t="s">
        <v>44</v>
      </c>
      <c r="C143" s="4" t="s">
        <v>12</v>
      </c>
      <c r="D143" s="4" t="s">
        <v>20</v>
      </c>
      <c r="E143" s="4">
        <v>37</v>
      </c>
      <c r="F143" s="4" t="s">
        <v>372</v>
      </c>
      <c r="G143" s="4"/>
      <c r="H143" s="4">
        <v>106987</v>
      </c>
      <c r="I143" s="4" t="s">
        <v>22</v>
      </c>
      <c r="J143" s="4">
        <v>3</v>
      </c>
      <c r="K143" s="4"/>
      <c r="L143" s="4" t="str" cm="1">
        <f t="array" ref="L143">_xlfn.IFS(E143&gt;=40,"Senior",E143&gt;=30,"Menior",E143&lt;30,"Fresher")</f>
        <v>Menior</v>
      </c>
      <c r="M143" s="4" t="str" cm="1">
        <f t="array" ref="M143">_xlfn.IFS(J143&gt;4,"High rating",J143&gt;=3,"Medium rating",J143&lt;3,"Low rating")</f>
        <v>Medium rating</v>
      </c>
      <c r="N143" s="4"/>
      <c r="O143">
        <v>2018</v>
      </c>
    </row>
    <row r="144" spans="1:15" x14ac:dyDescent="0.25">
      <c r="A144" s="4" t="s">
        <v>373</v>
      </c>
      <c r="B144" s="4" t="s">
        <v>73</v>
      </c>
      <c r="C144" s="4" t="s">
        <v>24</v>
      </c>
      <c r="D144" s="4" t="s">
        <v>13</v>
      </c>
      <c r="E144" s="4">
        <v>28</v>
      </c>
      <c r="F144" s="4" t="s">
        <v>374</v>
      </c>
      <c r="G144" s="4"/>
      <c r="H144" s="4">
        <v>51087</v>
      </c>
      <c r="I144" s="4" t="s">
        <v>22</v>
      </c>
      <c r="J144" s="4">
        <v>3</v>
      </c>
      <c r="K144" s="4"/>
      <c r="L144" s="4" t="str" cm="1">
        <f t="array" ref="L144">_xlfn.IFS(E144&gt;=40,"Senior",E144&gt;=30,"Menior",E144&lt;30,"Fresher")</f>
        <v>Fresher</v>
      </c>
      <c r="M144" s="4" t="str" cm="1">
        <f t="array" ref="M144">_xlfn.IFS(J144&gt;4,"High rating",J144&gt;=3,"Medium rating",J144&lt;3,"Low rating")</f>
        <v>Medium rating</v>
      </c>
      <c r="N144" s="4"/>
      <c r="O144">
        <v>2018</v>
      </c>
    </row>
    <row r="145" spans="1:15" x14ac:dyDescent="0.25">
      <c r="A145" s="4" t="s">
        <v>375</v>
      </c>
      <c r="B145" s="4" t="s">
        <v>33</v>
      </c>
      <c r="C145" s="4" t="s">
        <v>12</v>
      </c>
      <c r="D145" s="4" t="s">
        <v>13</v>
      </c>
      <c r="E145" s="4">
        <v>37</v>
      </c>
      <c r="F145" s="4" t="s">
        <v>376</v>
      </c>
      <c r="G145" s="4"/>
      <c r="H145" s="4">
        <v>76611</v>
      </c>
      <c r="I145" s="4" t="s">
        <v>22</v>
      </c>
      <c r="J145" s="4">
        <v>3</v>
      </c>
      <c r="K145" s="4"/>
      <c r="L145" s="4" t="str" cm="1">
        <f t="array" ref="L145">_xlfn.IFS(E145&gt;=40,"Senior",E145&gt;=30,"Menior",E145&lt;30,"Fresher")</f>
        <v>Menior</v>
      </c>
      <c r="M145" s="4" t="str" cm="1">
        <f t="array" ref="M145">_xlfn.IFS(J145&gt;4,"High rating",J145&gt;=3,"Medium rating",J145&lt;3,"Low rating")</f>
        <v>Medium rating</v>
      </c>
      <c r="N145" s="4"/>
      <c r="O145">
        <v>2015</v>
      </c>
    </row>
    <row r="146" spans="1:15" x14ac:dyDescent="0.25">
      <c r="A146" s="4" t="s">
        <v>377</v>
      </c>
      <c r="B146" s="4" t="s">
        <v>33</v>
      </c>
      <c r="C146" s="4" t="s">
        <v>12</v>
      </c>
      <c r="D146" s="4" t="s">
        <v>20</v>
      </c>
      <c r="E146" s="4">
        <v>29</v>
      </c>
      <c r="F146" s="4" t="s">
        <v>378</v>
      </c>
      <c r="G146" s="4"/>
      <c r="H146" s="4">
        <v>38615</v>
      </c>
      <c r="I146" s="4" t="s">
        <v>22</v>
      </c>
      <c r="J146" s="4">
        <v>2</v>
      </c>
      <c r="K146" s="4"/>
      <c r="L146" s="4" t="str" cm="1">
        <f t="array" ref="L146">_xlfn.IFS(E146&gt;=40,"Senior",E146&gt;=30,"Menior",E146&lt;30,"Fresher")</f>
        <v>Fresher</v>
      </c>
      <c r="M146" s="4" t="str" cm="1">
        <f t="array" ref="M146">_xlfn.IFS(J146&gt;4,"High rating",J146&gt;=3,"Medium rating",J146&lt;3,"Low rating")</f>
        <v>Low rating</v>
      </c>
      <c r="N146" s="4"/>
      <c r="O146">
        <v>2018</v>
      </c>
    </row>
    <row r="147" spans="1:15" x14ac:dyDescent="0.25">
      <c r="A147" s="4" t="s">
        <v>379</v>
      </c>
      <c r="B147" s="4" t="s">
        <v>37</v>
      </c>
      <c r="C147" s="4" t="s">
        <v>27</v>
      </c>
      <c r="D147" s="4" t="s">
        <v>13</v>
      </c>
      <c r="E147" s="4">
        <v>27</v>
      </c>
      <c r="F147" s="4" t="s">
        <v>380</v>
      </c>
      <c r="G147" s="4" t="s">
        <v>381</v>
      </c>
      <c r="H147" s="4">
        <v>110890</v>
      </c>
      <c r="I147" s="4" t="s">
        <v>16</v>
      </c>
      <c r="J147" s="4">
        <v>1</v>
      </c>
      <c r="K147" s="4">
        <f t="shared" si="4"/>
        <v>0.61917808219178083</v>
      </c>
      <c r="L147" s="4" t="str" cm="1">
        <f t="array" ref="L147">_xlfn.IFS(E147&gt;=40,"Senior",E147&gt;=30,"Menior",E147&lt;30,"Fresher")</f>
        <v>Fresher</v>
      </c>
      <c r="M147" s="4" t="str" cm="1">
        <f t="array" ref="M147">_xlfn.IFS(J147&gt;4,"High rating",J147&gt;=3,"Medium rating",J147&lt;3,"Low rating")</f>
        <v>Low rating</v>
      </c>
      <c r="N147" s="4" t="str">
        <f t="shared" si="5"/>
        <v>yes</v>
      </c>
      <c r="O147">
        <v>2022</v>
      </c>
    </row>
    <row r="148" spans="1:15" x14ac:dyDescent="0.25">
      <c r="A148" s="4" t="s">
        <v>382</v>
      </c>
      <c r="B148" s="4" t="s">
        <v>73</v>
      </c>
      <c r="C148" s="4" t="s">
        <v>12</v>
      </c>
      <c r="D148" s="4" t="s">
        <v>20</v>
      </c>
      <c r="E148" s="4">
        <v>44</v>
      </c>
      <c r="F148" s="4" t="s">
        <v>383</v>
      </c>
      <c r="G148" s="4"/>
      <c r="H148" s="4">
        <v>77633</v>
      </c>
      <c r="I148" s="4" t="s">
        <v>22</v>
      </c>
      <c r="J148" s="4">
        <v>3</v>
      </c>
      <c r="K148" s="4"/>
      <c r="L148" s="4" t="str" cm="1">
        <f t="array" ref="L148">_xlfn.IFS(E148&gt;=40,"Senior",E148&gt;=30,"Menior",E148&lt;30,"Fresher")</f>
        <v>Senior</v>
      </c>
      <c r="M148" s="4" t="str" cm="1">
        <f t="array" ref="M148">_xlfn.IFS(J148&gt;4,"High rating",J148&gt;=3,"Medium rating",J148&lt;3,"Low rating")</f>
        <v>Medium rating</v>
      </c>
      <c r="N148" s="4"/>
      <c r="O148">
        <v>2020</v>
      </c>
    </row>
    <row r="149" spans="1:15" x14ac:dyDescent="0.25">
      <c r="A149" s="4" t="s">
        <v>384</v>
      </c>
      <c r="B149" s="4" t="s">
        <v>33</v>
      </c>
      <c r="C149" s="4" t="s">
        <v>27</v>
      </c>
      <c r="D149" s="4" t="s">
        <v>13</v>
      </c>
      <c r="E149" s="4">
        <v>45</v>
      </c>
      <c r="F149" s="4" t="s">
        <v>385</v>
      </c>
      <c r="G149" s="4"/>
      <c r="H149" s="4">
        <v>115149</v>
      </c>
      <c r="I149" s="4" t="s">
        <v>22</v>
      </c>
      <c r="J149" s="4">
        <v>5</v>
      </c>
      <c r="K149" s="4"/>
      <c r="L149" s="4" t="str" cm="1">
        <f t="array" ref="L149">_xlfn.IFS(E149&gt;=40,"Senior",E149&gt;=30,"Menior",E149&lt;30,"Fresher")</f>
        <v>Senior</v>
      </c>
      <c r="M149" s="4" t="str" cm="1">
        <f t="array" ref="M149">_xlfn.IFS(J149&gt;4,"High rating",J149&gt;=3,"Medium rating",J149&lt;3,"Low rating")</f>
        <v>High rating</v>
      </c>
      <c r="N149" s="4"/>
      <c r="O149">
        <v>2016</v>
      </c>
    </row>
    <row r="150" spans="1:15" x14ac:dyDescent="0.25">
      <c r="A150" s="4" t="s">
        <v>386</v>
      </c>
      <c r="B150" s="4" t="s">
        <v>18</v>
      </c>
      <c r="C150" s="4" t="s">
        <v>24</v>
      </c>
      <c r="D150" s="4" t="s">
        <v>20</v>
      </c>
      <c r="E150" s="4">
        <v>44</v>
      </c>
      <c r="F150" s="4" t="s">
        <v>387</v>
      </c>
      <c r="G150" s="4" t="s">
        <v>388</v>
      </c>
      <c r="H150" s="4">
        <v>75410</v>
      </c>
      <c r="I150" s="4" t="s">
        <v>16</v>
      </c>
      <c r="J150" s="4">
        <v>3</v>
      </c>
      <c r="K150" s="4">
        <f t="shared" si="4"/>
        <v>2.6739726027397261</v>
      </c>
      <c r="L150" s="4" t="str" cm="1">
        <f t="array" ref="L150">_xlfn.IFS(E150&gt;=40,"Senior",E150&gt;=30,"Menior",E150&lt;30,"Fresher")</f>
        <v>Senior</v>
      </c>
      <c r="M150" s="4" t="str" cm="1">
        <f t="array" ref="M150">_xlfn.IFS(J150&gt;4,"High rating",J150&gt;=3,"Medium rating",J150&lt;3,"Low rating")</f>
        <v>Medium rating</v>
      </c>
      <c r="N150" s="4" t="str">
        <f t="shared" si="5"/>
        <v>no</v>
      </c>
      <c r="O150">
        <v>2023</v>
      </c>
    </row>
    <row r="151" spans="1:15" x14ac:dyDescent="0.25">
      <c r="A151" s="4" t="s">
        <v>389</v>
      </c>
      <c r="B151" s="4" t="s">
        <v>18</v>
      </c>
      <c r="C151" s="4" t="s">
        <v>19</v>
      </c>
      <c r="D151" s="4" t="s">
        <v>20</v>
      </c>
      <c r="E151" s="4">
        <v>38</v>
      </c>
      <c r="F151" s="4" t="s">
        <v>390</v>
      </c>
      <c r="G151" s="4"/>
      <c r="H151" s="4">
        <v>119343</v>
      </c>
      <c r="I151" s="4" t="s">
        <v>22</v>
      </c>
      <c r="J151" s="4">
        <v>5</v>
      </c>
      <c r="K151" s="4"/>
      <c r="L151" s="4" t="str" cm="1">
        <f t="array" ref="L151">_xlfn.IFS(E151&gt;=40,"Senior",E151&gt;=30,"Menior",E151&lt;30,"Fresher")</f>
        <v>Menior</v>
      </c>
      <c r="M151" s="4" t="str" cm="1">
        <f t="array" ref="M151">_xlfn.IFS(J151&gt;4,"High rating",J151&gt;=3,"Medium rating",J151&lt;3,"Low rating")</f>
        <v>High rating</v>
      </c>
      <c r="N151" s="4"/>
      <c r="O151">
        <v>2020</v>
      </c>
    </row>
    <row r="152" spans="1:15" x14ac:dyDescent="0.25">
      <c r="A152" s="4" t="s">
        <v>391</v>
      </c>
      <c r="B152" s="4" t="s">
        <v>58</v>
      </c>
      <c r="C152" s="4" t="s">
        <v>24</v>
      </c>
      <c r="D152" s="4" t="s">
        <v>20</v>
      </c>
      <c r="E152" s="4">
        <v>49</v>
      </c>
      <c r="F152" s="4" t="s">
        <v>392</v>
      </c>
      <c r="G152" s="4" t="s">
        <v>393</v>
      </c>
      <c r="H152" s="4">
        <v>61700</v>
      </c>
      <c r="I152" s="4" t="s">
        <v>16</v>
      </c>
      <c r="J152" s="4">
        <v>5</v>
      </c>
      <c r="K152" s="4">
        <f t="shared" si="4"/>
        <v>4.021917808219178</v>
      </c>
      <c r="L152" s="4" t="str" cm="1">
        <f t="array" ref="L152">_xlfn.IFS(E152&gt;=40,"Senior",E152&gt;=30,"Menior",E152&lt;30,"Fresher")</f>
        <v>Senior</v>
      </c>
      <c r="M152" s="4" t="str" cm="1">
        <f t="array" ref="M152">_xlfn.IFS(J152&gt;4,"High rating",J152&gt;=3,"Medium rating",J152&lt;3,"Low rating")</f>
        <v>High rating</v>
      </c>
      <c r="N152" s="4" t="str">
        <f t="shared" si="5"/>
        <v>no</v>
      </c>
      <c r="O152">
        <v>2021</v>
      </c>
    </row>
    <row r="153" spans="1:15" x14ac:dyDescent="0.25">
      <c r="A153" s="4" t="s">
        <v>394</v>
      </c>
      <c r="B153" s="4" t="s">
        <v>44</v>
      </c>
      <c r="C153" s="4" t="s">
        <v>19</v>
      </c>
      <c r="D153" s="4" t="s">
        <v>13</v>
      </c>
      <c r="E153" s="4">
        <v>43</v>
      </c>
      <c r="F153" s="4" t="s">
        <v>59</v>
      </c>
      <c r="G153" s="4" t="s">
        <v>395</v>
      </c>
      <c r="H153" s="4">
        <v>57100</v>
      </c>
      <c r="I153" s="4" t="s">
        <v>16</v>
      </c>
      <c r="J153" s="4">
        <v>2</v>
      </c>
      <c r="K153" s="4">
        <f t="shared" si="4"/>
        <v>2.473972602739726</v>
      </c>
      <c r="L153" s="4" t="str" cm="1">
        <f t="array" ref="L153">_xlfn.IFS(E153&gt;=40,"Senior",E153&gt;=30,"Menior",E153&lt;30,"Fresher")</f>
        <v>Senior</v>
      </c>
      <c r="M153" s="4" t="str" cm="1">
        <f t="array" ref="M153">_xlfn.IFS(J153&gt;4,"High rating",J153&gt;=3,"Medium rating",J153&lt;3,"Low rating")</f>
        <v>Low rating</v>
      </c>
      <c r="N153" s="4" t="str">
        <f t="shared" si="5"/>
        <v>no</v>
      </c>
      <c r="O153">
        <v>2022</v>
      </c>
    </row>
    <row r="154" spans="1:15" x14ac:dyDescent="0.25">
      <c r="A154" s="4" t="s">
        <v>396</v>
      </c>
      <c r="B154" s="4" t="s">
        <v>83</v>
      </c>
      <c r="C154" s="4" t="s">
        <v>19</v>
      </c>
      <c r="D154" s="4" t="s">
        <v>20</v>
      </c>
      <c r="E154" s="4">
        <v>40</v>
      </c>
      <c r="F154" s="4" t="s">
        <v>397</v>
      </c>
      <c r="G154" s="4"/>
      <c r="H154" s="4">
        <v>111204</v>
      </c>
      <c r="I154" s="4" t="s">
        <v>22</v>
      </c>
      <c r="J154" s="4">
        <v>4</v>
      </c>
      <c r="K154" s="4"/>
      <c r="L154" s="4" t="str" cm="1">
        <f t="array" ref="L154">_xlfn.IFS(E154&gt;=40,"Senior",E154&gt;=30,"Menior",E154&lt;30,"Fresher")</f>
        <v>Senior</v>
      </c>
      <c r="M154" s="4" t="str" cm="1">
        <f t="array" ref="M154">_xlfn.IFS(J154&gt;4,"High rating",J154&gt;=3,"Medium rating",J154&lt;3,"Low rating")</f>
        <v>Medium rating</v>
      </c>
      <c r="N154" s="4"/>
      <c r="O154">
        <v>2022</v>
      </c>
    </row>
    <row r="155" spans="1:15" x14ac:dyDescent="0.25">
      <c r="A155" s="4" t="s">
        <v>398</v>
      </c>
      <c r="B155" s="4" t="s">
        <v>18</v>
      </c>
      <c r="C155" s="4" t="s">
        <v>34</v>
      </c>
      <c r="D155" s="4" t="s">
        <v>13</v>
      </c>
      <c r="E155" s="4">
        <v>27</v>
      </c>
      <c r="F155" s="4" t="s">
        <v>399</v>
      </c>
      <c r="G155" s="4"/>
      <c r="H155" s="4">
        <v>58788</v>
      </c>
      <c r="I155" s="4" t="s">
        <v>22</v>
      </c>
      <c r="J155" s="4">
        <v>4</v>
      </c>
      <c r="K155" s="4"/>
      <c r="L155" s="4" t="str" cm="1">
        <f t="array" ref="L155">_xlfn.IFS(E155&gt;=40,"Senior",E155&gt;=30,"Menior",E155&lt;30,"Fresher")</f>
        <v>Fresher</v>
      </c>
      <c r="M155" s="4" t="str" cm="1">
        <f t="array" ref="M155">_xlfn.IFS(J155&gt;4,"High rating",J155&gt;=3,"Medium rating",J155&lt;3,"Low rating")</f>
        <v>Medium rating</v>
      </c>
      <c r="N155" s="4"/>
      <c r="O155">
        <v>2019</v>
      </c>
    </row>
    <row r="156" spans="1:15" x14ac:dyDescent="0.25">
      <c r="A156" s="4" t="s">
        <v>400</v>
      </c>
      <c r="B156" s="4" t="s">
        <v>52</v>
      </c>
      <c r="C156" s="4" t="s">
        <v>34</v>
      </c>
      <c r="D156" s="4" t="s">
        <v>13</v>
      </c>
      <c r="E156" s="4">
        <v>30</v>
      </c>
      <c r="F156" s="4" t="s">
        <v>401</v>
      </c>
      <c r="G156" s="4" t="s">
        <v>402</v>
      </c>
      <c r="H156" s="4">
        <v>63060</v>
      </c>
      <c r="I156" s="4" t="s">
        <v>16</v>
      </c>
      <c r="J156" s="4">
        <v>1</v>
      </c>
      <c r="K156" s="4">
        <f t="shared" si="4"/>
        <v>2.8027397260273972</v>
      </c>
      <c r="L156" s="4" t="str" cm="1">
        <f t="array" ref="L156">_xlfn.IFS(E156&gt;=40,"Senior",E156&gt;=30,"Menior",E156&lt;30,"Fresher")</f>
        <v>Menior</v>
      </c>
      <c r="M156" s="4" t="str" cm="1">
        <f t="array" ref="M156">_xlfn.IFS(J156&gt;4,"High rating",J156&gt;=3,"Medium rating",J156&lt;3,"Low rating")</f>
        <v>Low rating</v>
      </c>
      <c r="N156" s="4" t="str">
        <f t="shared" si="5"/>
        <v>no</v>
      </c>
      <c r="O156">
        <v>2022</v>
      </c>
    </row>
    <row r="157" spans="1:15" x14ac:dyDescent="0.25">
      <c r="A157" s="4" t="s">
        <v>403</v>
      </c>
      <c r="B157" s="4" t="s">
        <v>44</v>
      </c>
      <c r="C157" s="4" t="s">
        <v>27</v>
      </c>
      <c r="D157" s="4" t="s">
        <v>20</v>
      </c>
      <c r="E157" s="4">
        <v>40</v>
      </c>
      <c r="F157" s="4" t="s">
        <v>404</v>
      </c>
      <c r="G157" s="4" t="s">
        <v>405</v>
      </c>
      <c r="H157" s="4">
        <v>38348</v>
      </c>
      <c r="I157" s="4" t="s">
        <v>16</v>
      </c>
      <c r="J157" s="4">
        <v>3</v>
      </c>
      <c r="K157" s="4">
        <f t="shared" si="4"/>
        <v>1.1534246575342466</v>
      </c>
      <c r="L157" s="4" t="str" cm="1">
        <f t="array" ref="L157">_xlfn.IFS(E157&gt;=40,"Senior",E157&gt;=30,"Menior",E157&lt;30,"Fresher")</f>
        <v>Senior</v>
      </c>
      <c r="M157" s="4" t="str" cm="1">
        <f t="array" ref="M157">_xlfn.IFS(J157&gt;4,"High rating",J157&gt;=3,"Medium rating",J157&lt;3,"Low rating")</f>
        <v>Medium rating</v>
      </c>
      <c r="N157" s="4" t="str">
        <f t="shared" si="5"/>
        <v>yes</v>
      </c>
      <c r="O157">
        <v>2021</v>
      </c>
    </row>
    <row r="158" spans="1:15" x14ac:dyDescent="0.25">
      <c r="A158" s="4" t="s">
        <v>406</v>
      </c>
      <c r="B158" s="4" t="s">
        <v>11</v>
      </c>
      <c r="C158" s="4" t="s">
        <v>24</v>
      </c>
      <c r="D158" s="4" t="s">
        <v>13</v>
      </c>
      <c r="E158" s="4">
        <v>35</v>
      </c>
      <c r="F158" s="4" t="s">
        <v>407</v>
      </c>
      <c r="G158" s="4" t="s">
        <v>408</v>
      </c>
      <c r="H158" s="4">
        <v>90638</v>
      </c>
      <c r="I158" s="4" t="s">
        <v>16</v>
      </c>
      <c r="J158" s="4">
        <v>1</v>
      </c>
      <c r="K158" s="4">
        <f t="shared" si="4"/>
        <v>1.2931506849315069</v>
      </c>
      <c r="L158" s="4" t="str" cm="1">
        <f t="array" ref="L158">_xlfn.IFS(E158&gt;=40,"Senior",E158&gt;=30,"Menior",E158&lt;30,"Fresher")</f>
        <v>Menior</v>
      </c>
      <c r="M158" s="4" t="str" cm="1">
        <f t="array" ref="M158">_xlfn.IFS(J158&gt;4,"High rating",J158&gt;=3,"Medium rating",J158&lt;3,"Low rating")</f>
        <v>Low rating</v>
      </c>
      <c r="N158" s="4" t="str">
        <f t="shared" si="5"/>
        <v>yes</v>
      </c>
      <c r="O158">
        <v>2019</v>
      </c>
    </row>
    <row r="159" spans="1:15" x14ac:dyDescent="0.25">
      <c r="A159" s="4" t="s">
        <v>409</v>
      </c>
      <c r="B159" s="4" t="s">
        <v>73</v>
      </c>
      <c r="C159" s="4" t="s">
        <v>34</v>
      </c>
      <c r="D159" s="4" t="s">
        <v>20</v>
      </c>
      <c r="E159" s="4">
        <v>50</v>
      </c>
      <c r="F159" s="4" t="s">
        <v>410</v>
      </c>
      <c r="G159" s="4"/>
      <c r="H159" s="4">
        <v>36701</v>
      </c>
      <c r="I159" s="4" t="s">
        <v>22</v>
      </c>
      <c r="J159" s="4">
        <v>4</v>
      </c>
      <c r="K159" s="4"/>
      <c r="L159" s="4" t="str" cm="1">
        <f t="array" ref="L159">_xlfn.IFS(E159&gt;=40,"Senior",E159&gt;=30,"Menior",E159&lt;30,"Fresher")</f>
        <v>Senior</v>
      </c>
      <c r="M159" s="4" t="str" cm="1">
        <f t="array" ref="M159">_xlfn.IFS(J159&gt;4,"High rating",J159&gt;=3,"Medium rating",J159&lt;3,"Low rating")</f>
        <v>Medium rating</v>
      </c>
      <c r="N159" s="4"/>
      <c r="O159">
        <v>2016</v>
      </c>
    </row>
    <row r="160" spans="1:15" x14ac:dyDescent="0.25">
      <c r="A160" s="4" t="s">
        <v>411</v>
      </c>
      <c r="B160" s="4" t="s">
        <v>58</v>
      </c>
      <c r="C160" s="4" t="s">
        <v>34</v>
      </c>
      <c r="D160" s="4" t="s">
        <v>20</v>
      </c>
      <c r="E160" s="4">
        <v>49</v>
      </c>
      <c r="F160" s="4" t="s">
        <v>412</v>
      </c>
      <c r="G160" s="4"/>
      <c r="H160" s="4">
        <v>52065</v>
      </c>
      <c r="I160" s="4" t="s">
        <v>22</v>
      </c>
      <c r="J160" s="4">
        <v>1</v>
      </c>
      <c r="K160" s="4"/>
      <c r="L160" s="4" t="str" cm="1">
        <f t="array" ref="L160">_xlfn.IFS(E160&gt;=40,"Senior",E160&gt;=30,"Menior",E160&lt;30,"Fresher")</f>
        <v>Senior</v>
      </c>
      <c r="M160" s="4" t="str" cm="1">
        <f t="array" ref="M160">_xlfn.IFS(J160&gt;4,"High rating",J160&gt;=3,"Medium rating",J160&lt;3,"Low rating")</f>
        <v>Low rating</v>
      </c>
      <c r="N160" s="4"/>
      <c r="O160">
        <v>2017</v>
      </c>
    </row>
    <row r="161" spans="1:15" x14ac:dyDescent="0.25">
      <c r="A161" s="4" t="s">
        <v>413</v>
      </c>
      <c r="B161" s="4" t="s">
        <v>83</v>
      </c>
      <c r="C161" s="4" t="s">
        <v>12</v>
      </c>
      <c r="D161" s="4" t="s">
        <v>13</v>
      </c>
      <c r="E161" s="4">
        <v>33</v>
      </c>
      <c r="F161" s="4" t="s">
        <v>414</v>
      </c>
      <c r="G161" s="4"/>
      <c r="H161" s="4">
        <v>103450</v>
      </c>
      <c r="I161" s="4" t="s">
        <v>22</v>
      </c>
      <c r="J161" s="4">
        <v>2</v>
      </c>
      <c r="K161" s="4"/>
      <c r="L161" s="4" t="str" cm="1">
        <f t="array" ref="L161">_xlfn.IFS(E161&gt;=40,"Senior",E161&gt;=30,"Menior",E161&lt;30,"Fresher")</f>
        <v>Menior</v>
      </c>
      <c r="M161" s="4" t="str" cm="1">
        <f t="array" ref="M161">_xlfn.IFS(J161&gt;4,"High rating",J161&gt;=3,"Medium rating",J161&lt;3,"Low rating")</f>
        <v>Low rating</v>
      </c>
      <c r="N161" s="4"/>
      <c r="O161">
        <v>2022</v>
      </c>
    </row>
    <row r="162" spans="1:15" x14ac:dyDescent="0.25">
      <c r="A162" s="4" t="s">
        <v>415</v>
      </c>
      <c r="B162" s="4" t="s">
        <v>18</v>
      </c>
      <c r="C162" s="4" t="s">
        <v>27</v>
      </c>
      <c r="D162" s="4" t="s">
        <v>13</v>
      </c>
      <c r="E162" s="4">
        <v>38</v>
      </c>
      <c r="F162" s="4" t="s">
        <v>416</v>
      </c>
      <c r="G162" s="4"/>
      <c r="H162" s="4">
        <v>76465</v>
      </c>
      <c r="I162" s="4" t="s">
        <v>22</v>
      </c>
      <c r="J162" s="4">
        <v>4</v>
      </c>
      <c r="K162" s="4"/>
      <c r="L162" s="4" t="str" cm="1">
        <f t="array" ref="L162">_xlfn.IFS(E162&gt;=40,"Senior",E162&gt;=30,"Menior",E162&lt;30,"Fresher")</f>
        <v>Menior</v>
      </c>
      <c r="M162" s="4" t="str" cm="1">
        <f t="array" ref="M162">_xlfn.IFS(J162&gt;4,"High rating",J162&gt;=3,"Medium rating",J162&lt;3,"Low rating")</f>
        <v>Medium rating</v>
      </c>
      <c r="N162" s="4"/>
      <c r="O162">
        <v>2015</v>
      </c>
    </row>
    <row r="163" spans="1:15" x14ac:dyDescent="0.25">
      <c r="A163" s="4" t="s">
        <v>417</v>
      </c>
      <c r="B163" s="4" t="s">
        <v>73</v>
      </c>
      <c r="C163" s="4" t="s">
        <v>24</v>
      </c>
      <c r="D163" s="4" t="s">
        <v>13</v>
      </c>
      <c r="E163" s="4">
        <v>44</v>
      </c>
      <c r="F163" s="4" t="s">
        <v>418</v>
      </c>
      <c r="G163" s="4" t="s">
        <v>419</v>
      </c>
      <c r="H163" s="4">
        <v>98695</v>
      </c>
      <c r="I163" s="4" t="s">
        <v>16</v>
      </c>
      <c r="J163" s="4">
        <v>1</v>
      </c>
      <c r="K163" s="4">
        <f t="shared" si="4"/>
        <v>3.1945205479452055</v>
      </c>
      <c r="L163" s="4" t="str" cm="1">
        <f t="array" ref="L163">_xlfn.IFS(E163&gt;=40,"Senior",E163&gt;=30,"Menior",E163&lt;30,"Fresher")</f>
        <v>Senior</v>
      </c>
      <c r="M163" s="4" t="str" cm="1">
        <f t="array" ref="M163">_xlfn.IFS(J163&gt;4,"High rating",J163&gt;=3,"Medium rating",J163&lt;3,"Low rating")</f>
        <v>Low rating</v>
      </c>
      <c r="N163" s="4" t="str">
        <f t="shared" si="5"/>
        <v>no</v>
      </c>
      <c r="O163">
        <v>2016</v>
      </c>
    </row>
    <row r="164" spans="1:15" x14ac:dyDescent="0.25">
      <c r="A164" s="4" t="s">
        <v>420</v>
      </c>
      <c r="B164" s="4" t="s">
        <v>44</v>
      </c>
      <c r="C164" s="4" t="s">
        <v>24</v>
      </c>
      <c r="D164" s="4" t="s">
        <v>20</v>
      </c>
      <c r="E164" s="4">
        <v>42</v>
      </c>
      <c r="F164" s="4" t="s">
        <v>421</v>
      </c>
      <c r="G164" s="4" t="s">
        <v>422</v>
      </c>
      <c r="H164" s="4">
        <v>99585</v>
      </c>
      <c r="I164" s="4" t="s">
        <v>16</v>
      </c>
      <c r="J164" s="4">
        <v>4</v>
      </c>
      <c r="K164" s="4">
        <f t="shared" si="4"/>
        <v>3.493150684931507</v>
      </c>
      <c r="L164" s="4" t="str" cm="1">
        <f t="array" ref="L164">_xlfn.IFS(E164&gt;=40,"Senior",E164&gt;=30,"Menior",E164&lt;30,"Fresher")</f>
        <v>Senior</v>
      </c>
      <c r="M164" s="4" t="str" cm="1">
        <f t="array" ref="M164">_xlfn.IFS(J164&gt;4,"High rating",J164&gt;=3,"Medium rating",J164&lt;3,"Low rating")</f>
        <v>Medium rating</v>
      </c>
      <c r="N164" s="4" t="str">
        <f t="shared" si="5"/>
        <v>no</v>
      </c>
      <c r="O164">
        <v>2016</v>
      </c>
    </row>
    <row r="165" spans="1:15" x14ac:dyDescent="0.25">
      <c r="A165" s="4" t="s">
        <v>423</v>
      </c>
      <c r="B165" s="4" t="s">
        <v>37</v>
      </c>
      <c r="C165" s="4" t="s">
        <v>12</v>
      </c>
      <c r="D165" s="4" t="s">
        <v>13</v>
      </c>
      <c r="E165" s="4">
        <v>46</v>
      </c>
      <c r="F165" s="4" t="s">
        <v>424</v>
      </c>
      <c r="G165" s="4"/>
      <c r="H165" s="4">
        <v>94894</v>
      </c>
      <c r="I165" s="4" t="s">
        <v>22</v>
      </c>
      <c r="J165" s="4">
        <v>1</v>
      </c>
      <c r="K165" s="4"/>
      <c r="L165" s="4" t="str" cm="1">
        <f t="array" ref="L165">_xlfn.IFS(E165&gt;=40,"Senior",E165&gt;=30,"Menior",E165&lt;30,"Fresher")</f>
        <v>Senior</v>
      </c>
      <c r="M165" s="4" t="str" cm="1">
        <f t="array" ref="M165">_xlfn.IFS(J165&gt;4,"High rating",J165&gt;=3,"Medium rating",J165&lt;3,"Low rating")</f>
        <v>Low rating</v>
      </c>
      <c r="N165" s="4"/>
      <c r="O165">
        <v>2021</v>
      </c>
    </row>
    <row r="166" spans="1:15" x14ac:dyDescent="0.25">
      <c r="A166" s="4" t="s">
        <v>425</v>
      </c>
      <c r="B166" s="4" t="s">
        <v>33</v>
      </c>
      <c r="C166" s="4" t="s">
        <v>12</v>
      </c>
      <c r="D166" s="4" t="s">
        <v>13</v>
      </c>
      <c r="E166" s="4">
        <v>38</v>
      </c>
      <c r="F166" s="4" t="s">
        <v>325</v>
      </c>
      <c r="G166" s="4"/>
      <c r="H166" s="4">
        <v>30795</v>
      </c>
      <c r="I166" s="4" t="s">
        <v>22</v>
      </c>
      <c r="J166" s="4">
        <v>4</v>
      </c>
      <c r="K166" s="4"/>
      <c r="L166" s="4" t="str" cm="1">
        <f t="array" ref="L166">_xlfn.IFS(E166&gt;=40,"Senior",E166&gt;=30,"Menior",E166&lt;30,"Fresher")</f>
        <v>Menior</v>
      </c>
      <c r="M166" s="4" t="str" cm="1">
        <f t="array" ref="M166">_xlfn.IFS(J166&gt;4,"High rating",J166&gt;=3,"Medium rating",J166&lt;3,"Low rating")</f>
        <v>Medium rating</v>
      </c>
      <c r="N166" s="4"/>
      <c r="O166">
        <v>2017</v>
      </c>
    </row>
    <row r="167" spans="1:15" x14ac:dyDescent="0.25">
      <c r="A167" s="4" t="s">
        <v>426</v>
      </c>
      <c r="B167" s="4" t="s">
        <v>37</v>
      </c>
      <c r="C167" s="4" t="s">
        <v>34</v>
      </c>
      <c r="D167" s="4" t="s">
        <v>20</v>
      </c>
      <c r="E167" s="4">
        <v>45</v>
      </c>
      <c r="F167" s="4" t="s">
        <v>427</v>
      </c>
      <c r="G167" s="4"/>
      <c r="H167" s="4">
        <v>79361</v>
      </c>
      <c r="I167" s="4" t="s">
        <v>22</v>
      </c>
      <c r="J167" s="4">
        <v>5</v>
      </c>
      <c r="K167" s="4"/>
      <c r="L167" s="4" t="str" cm="1">
        <f t="array" ref="L167">_xlfn.IFS(E167&gt;=40,"Senior",E167&gt;=30,"Menior",E167&lt;30,"Fresher")</f>
        <v>Senior</v>
      </c>
      <c r="M167" s="4" t="str" cm="1">
        <f t="array" ref="M167">_xlfn.IFS(J167&gt;4,"High rating",J167&gt;=3,"Medium rating",J167&lt;3,"Low rating")</f>
        <v>High rating</v>
      </c>
      <c r="N167" s="4"/>
      <c r="O167">
        <v>2020</v>
      </c>
    </row>
    <row r="168" spans="1:15" x14ac:dyDescent="0.25">
      <c r="A168" s="4" t="s">
        <v>428</v>
      </c>
      <c r="B168" s="4" t="s">
        <v>58</v>
      </c>
      <c r="C168" s="4" t="s">
        <v>19</v>
      </c>
      <c r="D168" s="4" t="s">
        <v>20</v>
      </c>
      <c r="E168" s="4">
        <v>42</v>
      </c>
      <c r="F168" s="4" t="s">
        <v>429</v>
      </c>
      <c r="G168" s="4" t="s">
        <v>430</v>
      </c>
      <c r="H168" s="4">
        <v>109725</v>
      </c>
      <c r="I168" s="4" t="s">
        <v>16</v>
      </c>
      <c r="J168" s="4">
        <v>2</v>
      </c>
      <c r="K168" s="4">
        <f t="shared" si="4"/>
        <v>3.6109589041095891</v>
      </c>
      <c r="L168" s="4" t="str" cm="1">
        <f t="array" ref="L168">_xlfn.IFS(E168&gt;=40,"Senior",E168&gt;=30,"Menior",E168&lt;30,"Fresher")</f>
        <v>Senior</v>
      </c>
      <c r="M168" s="4" t="str" cm="1">
        <f t="array" ref="M168">_xlfn.IFS(J168&gt;4,"High rating",J168&gt;=3,"Medium rating",J168&lt;3,"Low rating")</f>
        <v>Low rating</v>
      </c>
      <c r="N168" s="4" t="str">
        <f t="shared" si="5"/>
        <v>no</v>
      </c>
      <c r="O168">
        <v>2021</v>
      </c>
    </row>
    <row r="169" spans="1:15" x14ac:dyDescent="0.25">
      <c r="A169" s="4" t="s">
        <v>431</v>
      </c>
      <c r="B169" s="4" t="s">
        <v>52</v>
      </c>
      <c r="C169" s="4" t="s">
        <v>34</v>
      </c>
      <c r="D169" s="4" t="s">
        <v>20</v>
      </c>
      <c r="E169" s="4">
        <v>25</v>
      </c>
      <c r="F169" s="4" t="s">
        <v>432</v>
      </c>
      <c r="G169" s="4" t="s">
        <v>433</v>
      </c>
      <c r="H169" s="4">
        <v>94622</v>
      </c>
      <c r="I169" s="4" t="s">
        <v>16</v>
      </c>
      <c r="J169" s="4">
        <v>4</v>
      </c>
      <c r="K169" s="4">
        <f t="shared" si="4"/>
        <v>1.6684931506849314</v>
      </c>
      <c r="L169" s="4" t="str" cm="1">
        <f t="array" ref="L169">_xlfn.IFS(E169&gt;=40,"Senior",E169&gt;=30,"Menior",E169&lt;30,"Fresher")</f>
        <v>Fresher</v>
      </c>
      <c r="M169" s="4" t="str" cm="1">
        <f t="array" ref="M169">_xlfn.IFS(J169&gt;4,"High rating",J169&gt;=3,"Medium rating",J169&lt;3,"Low rating")</f>
        <v>Medium rating</v>
      </c>
      <c r="N169" s="4" t="str">
        <f t="shared" si="5"/>
        <v>yes</v>
      </c>
      <c r="O169">
        <v>2022</v>
      </c>
    </row>
    <row r="170" spans="1:15" x14ac:dyDescent="0.25">
      <c r="A170" s="4" t="s">
        <v>434</v>
      </c>
      <c r="B170" s="4" t="s">
        <v>33</v>
      </c>
      <c r="C170" s="4" t="s">
        <v>24</v>
      </c>
      <c r="D170" s="4" t="s">
        <v>20</v>
      </c>
      <c r="E170" s="4">
        <v>25</v>
      </c>
      <c r="F170" s="4" t="s">
        <v>435</v>
      </c>
      <c r="G170" s="4"/>
      <c r="H170" s="4">
        <v>62641</v>
      </c>
      <c r="I170" s="4" t="s">
        <v>22</v>
      </c>
      <c r="J170" s="4">
        <v>4</v>
      </c>
      <c r="K170" s="4"/>
      <c r="L170" s="4" t="str" cm="1">
        <f t="array" ref="L170">_xlfn.IFS(E170&gt;=40,"Senior",E170&gt;=30,"Menior",E170&lt;30,"Fresher")</f>
        <v>Fresher</v>
      </c>
      <c r="M170" s="4" t="str" cm="1">
        <f t="array" ref="M170">_xlfn.IFS(J170&gt;4,"High rating",J170&gt;=3,"Medium rating",J170&lt;3,"Low rating")</f>
        <v>Medium rating</v>
      </c>
      <c r="N170" s="4"/>
      <c r="O170">
        <v>2019</v>
      </c>
    </row>
    <row r="171" spans="1:15" x14ac:dyDescent="0.25">
      <c r="A171" s="4" t="s">
        <v>436</v>
      </c>
      <c r="B171" s="4" t="s">
        <v>33</v>
      </c>
      <c r="C171" s="4" t="s">
        <v>27</v>
      </c>
      <c r="D171" s="4" t="s">
        <v>13</v>
      </c>
      <c r="E171" s="4">
        <v>23</v>
      </c>
      <c r="F171" s="4" t="s">
        <v>437</v>
      </c>
      <c r="G171" s="4" t="s">
        <v>438</v>
      </c>
      <c r="H171" s="4">
        <v>58647</v>
      </c>
      <c r="I171" s="4" t="s">
        <v>16</v>
      </c>
      <c r="J171" s="4">
        <v>3</v>
      </c>
      <c r="K171" s="4">
        <f t="shared" si="4"/>
        <v>1.547945205479452</v>
      </c>
      <c r="L171" s="4" t="str" cm="1">
        <f t="array" ref="L171">_xlfn.IFS(E171&gt;=40,"Senior",E171&gt;=30,"Menior",E171&lt;30,"Fresher")</f>
        <v>Fresher</v>
      </c>
      <c r="M171" s="4" t="str" cm="1">
        <f t="array" ref="M171">_xlfn.IFS(J171&gt;4,"High rating",J171&gt;=3,"Medium rating",J171&lt;3,"Low rating")</f>
        <v>Medium rating</v>
      </c>
      <c r="N171" s="4" t="str">
        <f>IF(AND(G171&lt;&gt;"",DATEDIF(F171,G171,"y")&lt;2),"yes","no")</f>
        <v>yes</v>
      </c>
      <c r="O171">
        <v>2015</v>
      </c>
    </row>
    <row r="172" spans="1:15" x14ac:dyDescent="0.25">
      <c r="A172" s="4" t="s">
        <v>439</v>
      </c>
      <c r="B172" s="4" t="s">
        <v>58</v>
      </c>
      <c r="C172" s="4" t="s">
        <v>24</v>
      </c>
      <c r="D172" s="4" t="s">
        <v>20</v>
      </c>
      <c r="E172" s="4">
        <v>43</v>
      </c>
      <c r="F172" s="4" t="s">
        <v>440</v>
      </c>
      <c r="G172" s="4" t="s">
        <v>441</v>
      </c>
      <c r="H172" s="4">
        <v>28220</v>
      </c>
      <c r="I172" s="4" t="s">
        <v>16</v>
      </c>
      <c r="J172" s="4">
        <v>1</v>
      </c>
      <c r="K172" s="4">
        <f t="shared" si="4"/>
        <v>2.7232876712328768</v>
      </c>
      <c r="L172" s="4" t="str" cm="1">
        <f t="array" ref="L172">_xlfn.IFS(E172&gt;=40,"Senior",E172&gt;=30,"Menior",E172&lt;30,"Fresher")</f>
        <v>Senior</v>
      </c>
      <c r="M172" s="4" t="str" cm="1">
        <f t="array" ref="M172">_xlfn.IFS(J172&gt;4,"High rating",J172&gt;=3,"Medium rating",J172&lt;3,"Low rating")</f>
        <v>Low rating</v>
      </c>
      <c r="N172" s="4" t="str">
        <f t="shared" si="5"/>
        <v>no</v>
      </c>
      <c r="O172">
        <v>2022</v>
      </c>
    </row>
    <row r="173" spans="1:15" x14ac:dyDescent="0.25">
      <c r="A173" s="4" t="s">
        <v>442</v>
      </c>
      <c r="B173" s="4" t="s">
        <v>18</v>
      </c>
      <c r="C173" s="4" t="s">
        <v>27</v>
      </c>
      <c r="D173" s="4" t="s">
        <v>13</v>
      </c>
      <c r="E173" s="4">
        <v>41</v>
      </c>
      <c r="F173" s="4" t="s">
        <v>443</v>
      </c>
      <c r="G173" s="4"/>
      <c r="H173" s="4">
        <v>41042</v>
      </c>
      <c r="I173" s="4" t="s">
        <v>22</v>
      </c>
      <c r="J173" s="4">
        <v>2</v>
      </c>
      <c r="K173" s="4"/>
      <c r="L173" s="4" t="str" cm="1">
        <f t="array" ref="L173">_xlfn.IFS(E173&gt;=40,"Senior",E173&gt;=30,"Menior",E173&lt;30,"Fresher")</f>
        <v>Senior</v>
      </c>
      <c r="M173" s="4" t="str" cm="1">
        <f t="array" ref="M173">_xlfn.IFS(J173&gt;4,"High rating",J173&gt;=3,"Medium rating",J173&lt;3,"Low rating")</f>
        <v>Low rating</v>
      </c>
      <c r="N173" s="4"/>
      <c r="O173">
        <v>2020</v>
      </c>
    </row>
    <row r="174" spans="1:15" x14ac:dyDescent="0.25">
      <c r="A174" s="4" t="s">
        <v>444</v>
      </c>
      <c r="B174" s="4" t="s">
        <v>44</v>
      </c>
      <c r="C174" s="4" t="s">
        <v>12</v>
      </c>
      <c r="D174" s="4" t="s">
        <v>20</v>
      </c>
      <c r="E174" s="4">
        <v>29</v>
      </c>
      <c r="F174" s="4" t="s">
        <v>445</v>
      </c>
      <c r="G174" s="4" t="s">
        <v>446</v>
      </c>
      <c r="H174" s="4">
        <v>35678</v>
      </c>
      <c r="I174" s="4" t="s">
        <v>16</v>
      </c>
      <c r="J174" s="4">
        <v>3</v>
      </c>
      <c r="K174" s="4">
        <f t="shared" si="4"/>
        <v>0.67397260273972603</v>
      </c>
      <c r="L174" s="4" t="str" cm="1">
        <f t="array" ref="L174">_xlfn.IFS(E174&gt;=40,"Senior",E174&gt;=30,"Menior",E174&lt;30,"Fresher")</f>
        <v>Fresher</v>
      </c>
      <c r="M174" s="4" t="str" cm="1">
        <f t="array" ref="M174">_xlfn.IFS(J174&gt;4,"High rating",J174&gt;=3,"Medium rating",J174&lt;3,"Low rating")</f>
        <v>Medium rating</v>
      </c>
      <c r="N174" s="4" t="str">
        <f t="shared" si="5"/>
        <v>yes</v>
      </c>
      <c r="O174">
        <v>2016</v>
      </c>
    </row>
    <row r="175" spans="1:15" x14ac:dyDescent="0.25">
      <c r="A175" s="4" t="s">
        <v>447</v>
      </c>
      <c r="B175" s="4" t="s">
        <v>58</v>
      </c>
      <c r="C175" s="4" t="s">
        <v>24</v>
      </c>
      <c r="D175" s="4" t="s">
        <v>13</v>
      </c>
      <c r="E175" s="4">
        <v>46</v>
      </c>
      <c r="F175" s="4" t="s">
        <v>448</v>
      </c>
      <c r="G175" s="4" t="s">
        <v>449</v>
      </c>
      <c r="H175" s="4">
        <v>92625</v>
      </c>
      <c r="I175" s="4" t="s">
        <v>16</v>
      </c>
      <c r="J175" s="4">
        <v>2</v>
      </c>
      <c r="K175" s="4">
        <f t="shared" si="4"/>
        <v>2.7095890410958905</v>
      </c>
      <c r="L175" s="4" t="str" cm="1">
        <f t="array" ref="L175">_xlfn.IFS(E175&gt;=40,"Senior",E175&gt;=30,"Menior",E175&lt;30,"Fresher")</f>
        <v>Senior</v>
      </c>
      <c r="M175" s="4" t="str" cm="1">
        <f t="array" ref="M175">_xlfn.IFS(J175&gt;4,"High rating",J175&gt;=3,"Medium rating",J175&lt;3,"Low rating")</f>
        <v>Low rating</v>
      </c>
      <c r="N175" s="4" t="str">
        <f t="shared" si="5"/>
        <v>no</v>
      </c>
      <c r="O175">
        <v>2016</v>
      </c>
    </row>
    <row r="176" spans="1:15" x14ac:dyDescent="0.25">
      <c r="A176" s="4" t="s">
        <v>450</v>
      </c>
      <c r="B176" s="4" t="s">
        <v>58</v>
      </c>
      <c r="C176" s="4" t="s">
        <v>34</v>
      </c>
      <c r="D176" s="4" t="s">
        <v>13</v>
      </c>
      <c r="E176" s="4">
        <v>32</v>
      </c>
      <c r="F176" s="4" t="s">
        <v>451</v>
      </c>
      <c r="G176" s="4"/>
      <c r="H176" s="4">
        <v>78034</v>
      </c>
      <c r="I176" s="4" t="s">
        <v>22</v>
      </c>
      <c r="J176" s="4">
        <v>2</v>
      </c>
      <c r="K176" s="4"/>
      <c r="L176" s="4" t="str" cm="1">
        <f t="array" ref="L176">_xlfn.IFS(E176&gt;=40,"Senior",E176&gt;=30,"Menior",E176&lt;30,"Fresher")</f>
        <v>Menior</v>
      </c>
      <c r="M176" s="4" t="str" cm="1">
        <f t="array" ref="M176">_xlfn.IFS(J176&gt;4,"High rating",J176&gt;=3,"Medium rating",J176&lt;3,"Low rating")</f>
        <v>Low rating</v>
      </c>
      <c r="N176" s="4"/>
      <c r="O176">
        <v>2019</v>
      </c>
    </row>
    <row r="177" spans="1:15" x14ac:dyDescent="0.25">
      <c r="A177" s="4" t="s">
        <v>452</v>
      </c>
      <c r="B177" s="4" t="s">
        <v>40</v>
      </c>
      <c r="C177" s="4" t="s">
        <v>12</v>
      </c>
      <c r="D177" s="4" t="s">
        <v>13</v>
      </c>
      <c r="E177" s="4">
        <v>34</v>
      </c>
      <c r="F177" s="4" t="s">
        <v>453</v>
      </c>
      <c r="G177" s="4" t="s">
        <v>454</v>
      </c>
      <c r="H177" s="4">
        <v>58991</v>
      </c>
      <c r="I177" s="4" t="s">
        <v>16</v>
      </c>
      <c r="J177" s="4">
        <v>5</v>
      </c>
      <c r="K177" s="4">
        <f t="shared" si="4"/>
        <v>2.8246575342465752</v>
      </c>
      <c r="L177" s="4" t="str" cm="1">
        <f t="array" ref="L177">_xlfn.IFS(E177&gt;=40,"Senior",E177&gt;=30,"Menior",E177&lt;30,"Fresher")</f>
        <v>Menior</v>
      </c>
      <c r="M177" s="4" t="str" cm="1">
        <f t="array" ref="M177">_xlfn.IFS(J177&gt;4,"High rating",J177&gt;=3,"Medium rating",J177&lt;3,"Low rating")</f>
        <v>High rating</v>
      </c>
      <c r="N177" s="4" t="str">
        <f t="shared" si="5"/>
        <v>no</v>
      </c>
      <c r="O177">
        <v>2021</v>
      </c>
    </row>
    <row r="178" spans="1:15" x14ac:dyDescent="0.25">
      <c r="A178" s="4" t="s">
        <v>455</v>
      </c>
      <c r="B178" s="4" t="s">
        <v>44</v>
      </c>
      <c r="C178" s="4" t="s">
        <v>19</v>
      </c>
      <c r="D178" s="4" t="s">
        <v>20</v>
      </c>
      <c r="E178" s="4">
        <v>32</v>
      </c>
      <c r="F178" s="4" t="s">
        <v>456</v>
      </c>
      <c r="G178" s="4"/>
      <c r="H178" s="4">
        <v>30171</v>
      </c>
      <c r="I178" s="4" t="s">
        <v>22</v>
      </c>
      <c r="J178" s="4">
        <v>2</v>
      </c>
      <c r="K178" s="4"/>
      <c r="L178" s="4" t="str" cm="1">
        <f t="array" ref="L178">_xlfn.IFS(E178&gt;=40,"Senior",E178&gt;=30,"Menior",E178&lt;30,"Fresher")</f>
        <v>Menior</v>
      </c>
      <c r="M178" s="4" t="str" cm="1">
        <f t="array" ref="M178">_xlfn.IFS(J178&gt;4,"High rating",J178&gt;=3,"Medium rating",J178&lt;3,"Low rating")</f>
        <v>Low rating</v>
      </c>
      <c r="N178" s="4"/>
      <c r="O178">
        <v>2020</v>
      </c>
    </row>
    <row r="179" spans="1:15" x14ac:dyDescent="0.25">
      <c r="A179" s="4" t="s">
        <v>457</v>
      </c>
      <c r="B179" s="4" t="s">
        <v>40</v>
      </c>
      <c r="C179" s="4" t="s">
        <v>19</v>
      </c>
      <c r="D179" s="4" t="s">
        <v>20</v>
      </c>
      <c r="E179" s="4">
        <v>49</v>
      </c>
      <c r="F179" s="4" t="s">
        <v>143</v>
      </c>
      <c r="G179" s="4"/>
      <c r="H179" s="4">
        <v>34665</v>
      </c>
      <c r="I179" s="4" t="s">
        <v>22</v>
      </c>
      <c r="J179" s="4">
        <v>5</v>
      </c>
      <c r="K179" s="4"/>
      <c r="L179" s="4" t="str" cm="1">
        <f t="array" ref="L179">_xlfn.IFS(E179&gt;=40,"Senior",E179&gt;=30,"Menior",E179&lt;30,"Fresher")</f>
        <v>Senior</v>
      </c>
      <c r="M179" s="4" t="str" cm="1">
        <f t="array" ref="M179">_xlfn.IFS(J179&gt;4,"High rating",J179&gt;=3,"Medium rating",J179&lt;3,"Low rating")</f>
        <v>High rating</v>
      </c>
      <c r="N179" s="4"/>
      <c r="O179">
        <v>2021</v>
      </c>
    </row>
    <row r="180" spans="1:15" x14ac:dyDescent="0.25">
      <c r="A180" s="4" t="s">
        <v>458</v>
      </c>
      <c r="B180" s="4" t="s">
        <v>37</v>
      </c>
      <c r="C180" s="4" t="s">
        <v>12</v>
      </c>
      <c r="D180" s="4" t="s">
        <v>20</v>
      </c>
      <c r="E180" s="4">
        <v>27</v>
      </c>
      <c r="F180" s="4" t="s">
        <v>459</v>
      </c>
      <c r="G180" s="4" t="s">
        <v>460</v>
      </c>
      <c r="H180" s="4">
        <v>110412</v>
      </c>
      <c r="I180" s="4" t="s">
        <v>16</v>
      </c>
      <c r="J180" s="4">
        <v>1</v>
      </c>
      <c r="K180" s="4">
        <f t="shared" si="4"/>
        <v>2.4657534246575343</v>
      </c>
      <c r="L180" s="4" t="str" cm="1">
        <f t="array" ref="L180">_xlfn.IFS(E180&gt;=40,"Senior",E180&gt;=30,"Menior",E180&lt;30,"Fresher")</f>
        <v>Fresher</v>
      </c>
      <c r="M180" s="4" t="str" cm="1">
        <f t="array" ref="M180">_xlfn.IFS(J180&gt;4,"High rating",J180&gt;=3,"Medium rating",J180&lt;3,"Low rating")</f>
        <v>Low rating</v>
      </c>
      <c r="N180" s="4" t="str">
        <f t="shared" si="5"/>
        <v>no</v>
      </c>
      <c r="O180">
        <v>2020</v>
      </c>
    </row>
    <row r="181" spans="1:15" x14ac:dyDescent="0.25">
      <c r="A181" s="4" t="s">
        <v>461</v>
      </c>
      <c r="B181" s="4" t="s">
        <v>58</v>
      </c>
      <c r="C181" s="4" t="s">
        <v>34</v>
      </c>
      <c r="D181" s="4" t="s">
        <v>20</v>
      </c>
      <c r="E181" s="4">
        <v>27</v>
      </c>
      <c r="F181" s="4" t="s">
        <v>462</v>
      </c>
      <c r="G181" s="4"/>
      <c r="H181" s="4">
        <v>117480</v>
      </c>
      <c r="I181" s="4" t="s">
        <v>22</v>
      </c>
      <c r="J181" s="4">
        <v>4</v>
      </c>
      <c r="K181" s="4"/>
      <c r="L181" s="4" t="str" cm="1">
        <f t="array" ref="L181">_xlfn.IFS(E181&gt;=40,"Senior",E181&gt;=30,"Menior",E181&lt;30,"Fresher")</f>
        <v>Fresher</v>
      </c>
      <c r="M181" s="4" t="str" cm="1">
        <f t="array" ref="M181">_xlfn.IFS(J181&gt;4,"High rating",J181&gt;=3,"Medium rating",J181&lt;3,"Low rating")</f>
        <v>Medium rating</v>
      </c>
      <c r="N181" s="4"/>
      <c r="O181">
        <v>2020</v>
      </c>
    </row>
    <row r="182" spans="1:15" x14ac:dyDescent="0.25">
      <c r="A182" s="4" t="s">
        <v>463</v>
      </c>
      <c r="B182" s="4" t="s">
        <v>11</v>
      </c>
      <c r="C182" s="4" t="s">
        <v>24</v>
      </c>
      <c r="D182" s="4" t="s">
        <v>13</v>
      </c>
      <c r="E182" s="4">
        <v>40</v>
      </c>
      <c r="F182" s="4" t="s">
        <v>464</v>
      </c>
      <c r="G182" s="4"/>
      <c r="H182" s="4">
        <v>109293</v>
      </c>
      <c r="I182" s="4" t="s">
        <v>22</v>
      </c>
      <c r="J182" s="4">
        <v>3</v>
      </c>
      <c r="K182" s="4"/>
      <c r="L182" s="4" t="str" cm="1">
        <f t="array" ref="L182">_xlfn.IFS(E182&gt;=40,"Senior",E182&gt;=30,"Menior",E182&lt;30,"Fresher")</f>
        <v>Senior</v>
      </c>
      <c r="M182" s="4" t="str" cm="1">
        <f t="array" ref="M182">_xlfn.IFS(J182&gt;4,"High rating",J182&gt;=3,"Medium rating",J182&lt;3,"Low rating")</f>
        <v>Medium rating</v>
      </c>
      <c r="N182" s="4"/>
      <c r="O182">
        <v>2020</v>
      </c>
    </row>
    <row r="183" spans="1:15" x14ac:dyDescent="0.25">
      <c r="A183" s="4" t="s">
        <v>465</v>
      </c>
      <c r="B183" s="4" t="s">
        <v>58</v>
      </c>
      <c r="C183" s="4" t="s">
        <v>34</v>
      </c>
      <c r="D183" s="4" t="s">
        <v>20</v>
      </c>
      <c r="E183" s="4">
        <v>28</v>
      </c>
      <c r="F183" s="4" t="s">
        <v>466</v>
      </c>
      <c r="G183" s="4"/>
      <c r="H183" s="4">
        <v>64024</v>
      </c>
      <c r="I183" s="4" t="s">
        <v>22</v>
      </c>
      <c r="J183" s="4">
        <v>5</v>
      </c>
      <c r="K183" s="4"/>
      <c r="L183" s="4" t="str" cm="1">
        <f t="array" ref="L183">_xlfn.IFS(E183&gt;=40,"Senior",E183&gt;=30,"Menior",E183&lt;30,"Fresher")</f>
        <v>Fresher</v>
      </c>
      <c r="M183" s="4" t="str" cm="1">
        <f t="array" ref="M183">_xlfn.IFS(J183&gt;4,"High rating",J183&gt;=3,"Medium rating",J183&lt;3,"Low rating")</f>
        <v>High rating</v>
      </c>
      <c r="N183" s="4"/>
      <c r="O183">
        <v>2015</v>
      </c>
    </row>
    <row r="184" spans="1:15" x14ac:dyDescent="0.25">
      <c r="A184" s="4" t="s">
        <v>467</v>
      </c>
      <c r="B184" s="4" t="s">
        <v>44</v>
      </c>
      <c r="C184" s="4" t="s">
        <v>34</v>
      </c>
      <c r="D184" s="4" t="s">
        <v>13</v>
      </c>
      <c r="E184" s="4">
        <v>31</v>
      </c>
      <c r="F184" s="4" t="s">
        <v>468</v>
      </c>
      <c r="G184" s="4"/>
      <c r="H184" s="4">
        <v>76015</v>
      </c>
      <c r="I184" s="4" t="s">
        <v>22</v>
      </c>
      <c r="J184" s="4">
        <v>1</v>
      </c>
      <c r="K184" s="4"/>
      <c r="L184" s="4" t="str" cm="1">
        <f t="array" ref="L184">_xlfn.IFS(E184&gt;=40,"Senior",E184&gt;=30,"Menior",E184&lt;30,"Fresher")</f>
        <v>Menior</v>
      </c>
      <c r="M184" s="4" t="str" cm="1">
        <f t="array" ref="M184">_xlfn.IFS(J184&gt;4,"High rating",J184&gt;=3,"Medium rating",J184&lt;3,"Low rating")</f>
        <v>Low rating</v>
      </c>
      <c r="N184" s="4"/>
      <c r="O184">
        <v>2017</v>
      </c>
    </row>
    <row r="185" spans="1:15" x14ac:dyDescent="0.25">
      <c r="A185" s="4" t="s">
        <v>469</v>
      </c>
      <c r="B185" s="4" t="s">
        <v>58</v>
      </c>
      <c r="C185" s="4" t="s">
        <v>12</v>
      </c>
      <c r="D185" s="4" t="s">
        <v>20</v>
      </c>
      <c r="E185" s="4">
        <v>43</v>
      </c>
      <c r="F185" s="4" t="s">
        <v>470</v>
      </c>
      <c r="G185" s="4"/>
      <c r="H185" s="4">
        <v>34201</v>
      </c>
      <c r="I185" s="4" t="s">
        <v>22</v>
      </c>
      <c r="J185" s="4">
        <v>2</v>
      </c>
      <c r="K185" s="4"/>
      <c r="L185" s="4" t="str" cm="1">
        <f t="array" ref="L185">_xlfn.IFS(E185&gt;=40,"Senior",E185&gt;=30,"Menior",E185&lt;30,"Fresher")</f>
        <v>Senior</v>
      </c>
      <c r="M185" s="4" t="str" cm="1">
        <f t="array" ref="M185">_xlfn.IFS(J185&gt;4,"High rating",J185&gt;=3,"Medium rating",J185&lt;3,"Low rating")</f>
        <v>Low rating</v>
      </c>
      <c r="N185" s="4"/>
      <c r="O185">
        <v>2017</v>
      </c>
    </row>
    <row r="186" spans="1:15" x14ac:dyDescent="0.25">
      <c r="A186" s="4" t="s">
        <v>471</v>
      </c>
      <c r="B186" s="4" t="s">
        <v>83</v>
      </c>
      <c r="C186" s="4" t="s">
        <v>12</v>
      </c>
      <c r="D186" s="4" t="s">
        <v>13</v>
      </c>
      <c r="E186" s="4">
        <v>33</v>
      </c>
      <c r="F186" s="4" t="s">
        <v>472</v>
      </c>
      <c r="G186" s="4"/>
      <c r="H186" s="4">
        <v>111740</v>
      </c>
      <c r="I186" s="4" t="s">
        <v>22</v>
      </c>
      <c r="J186" s="4">
        <v>5</v>
      </c>
      <c r="K186" s="4"/>
      <c r="L186" s="4" t="str" cm="1">
        <f t="array" ref="L186">_xlfn.IFS(E186&gt;=40,"Senior",E186&gt;=30,"Menior",E186&lt;30,"Fresher")</f>
        <v>Menior</v>
      </c>
      <c r="M186" s="4" t="str" cm="1">
        <f t="array" ref="M186">_xlfn.IFS(J186&gt;4,"High rating",J186&gt;=3,"Medium rating",J186&lt;3,"Low rating")</f>
        <v>High rating</v>
      </c>
      <c r="N186" s="4"/>
      <c r="O186">
        <v>2020</v>
      </c>
    </row>
    <row r="187" spans="1:15" x14ac:dyDescent="0.25">
      <c r="A187" s="4" t="s">
        <v>473</v>
      </c>
      <c r="B187" s="4" t="s">
        <v>73</v>
      </c>
      <c r="C187" s="4" t="s">
        <v>12</v>
      </c>
      <c r="D187" s="4" t="s">
        <v>13</v>
      </c>
      <c r="E187" s="4">
        <v>31</v>
      </c>
      <c r="F187" s="4" t="s">
        <v>474</v>
      </c>
      <c r="G187" s="4"/>
      <c r="H187" s="4">
        <v>81992</v>
      </c>
      <c r="I187" s="4" t="s">
        <v>22</v>
      </c>
      <c r="J187" s="4">
        <v>4</v>
      </c>
      <c r="K187" s="4"/>
      <c r="L187" s="4" t="str" cm="1">
        <f t="array" ref="L187">_xlfn.IFS(E187&gt;=40,"Senior",E187&gt;=30,"Menior",E187&lt;30,"Fresher")</f>
        <v>Menior</v>
      </c>
      <c r="M187" s="4" t="str" cm="1">
        <f t="array" ref="M187">_xlfn.IFS(J187&gt;4,"High rating",J187&gt;=3,"Medium rating",J187&lt;3,"Low rating")</f>
        <v>Medium rating</v>
      </c>
      <c r="N187" s="4"/>
      <c r="O187">
        <v>2017</v>
      </c>
    </row>
    <row r="188" spans="1:15" x14ac:dyDescent="0.25">
      <c r="A188" s="4" t="s">
        <v>475</v>
      </c>
      <c r="B188" s="4" t="s">
        <v>83</v>
      </c>
      <c r="C188" s="4" t="s">
        <v>24</v>
      </c>
      <c r="D188" s="4" t="s">
        <v>13</v>
      </c>
      <c r="E188" s="4">
        <v>29</v>
      </c>
      <c r="F188" s="4" t="s">
        <v>476</v>
      </c>
      <c r="G188" s="4"/>
      <c r="H188" s="4">
        <v>115906</v>
      </c>
      <c r="I188" s="4" t="s">
        <v>22</v>
      </c>
      <c r="J188" s="4">
        <v>1</v>
      </c>
      <c r="K188" s="4"/>
      <c r="L188" s="4" t="str" cm="1">
        <f t="array" ref="L188">_xlfn.IFS(E188&gt;=40,"Senior",E188&gt;=30,"Menior",E188&lt;30,"Fresher")</f>
        <v>Fresher</v>
      </c>
      <c r="M188" s="4" t="str" cm="1">
        <f t="array" ref="M188">_xlfn.IFS(J188&gt;4,"High rating",J188&gt;=3,"Medium rating",J188&lt;3,"Low rating")</f>
        <v>Low rating</v>
      </c>
      <c r="N188" s="4"/>
      <c r="O188">
        <v>2020</v>
      </c>
    </row>
    <row r="189" spans="1:15" x14ac:dyDescent="0.25">
      <c r="A189" s="4" t="s">
        <v>477</v>
      </c>
      <c r="B189" s="4" t="s">
        <v>52</v>
      </c>
      <c r="C189" s="4" t="s">
        <v>19</v>
      </c>
      <c r="D189" s="4" t="s">
        <v>20</v>
      </c>
      <c r="E189" s="4">
        <v>42</v>
      </c>
      <c r="F189" s="4" t="s">
        <v>478</v>
      </c>
      <c r="G189" s="4"/>
      <c r="H189" s="4">
        <v>118088</v>
      </c>
      <c r="I189" s="4" t="s">
        <v>22</v>
      </c>
      <c r="J189" s="4">
        <v>2</v>
      </c>
      <c r="K189" s="4"/>
      <c r="L189" s="4" t="str" cm="1">
        <f t="array" ref="L189">_xlfn.IFS(E189&gt;=40,"Senior",E189&gt;=30,"Menior",E189&lt;30,"Fresher")</f>
        <v>Senior</v>
      </c>
      <c r="M189" s="4" t="str" cm="1">
        <f t="array" ref="M189">_xlfn.IFS(J189&gt;4,"High rating",J189&gt;=3,"Medium rating",J189&lt;3,"Low rating")</f>
        <v>Low rating</v>
      </c>
      <c r="N189" s="4"/>
      <c r="O189">
        <v>2020</v>
      </c>
    </row>
    <row r="190" spans="1:15" x14ac:dyDescent="0.25">
      <c r="A190" s="4" t="s">
        <v>479</v>
      </c>
      <c r="B190" s="4" t="s">
        <v>33</v>
      </c>
      <c r="C190" s="4" t="s">
        <v>27</v>
      </c>
      <c r="D190" s="4" t="s">
        <v>13</v>
      </c>
      <c r="E190" s="4">
        <v>48</v>
      </c>
      <c r="F190" s="4" t="s">
        <v>480</v>
      </c>
      <c r="G190" s="4" t="s">
        <v>481</v>
      </c>
      <c r="H190" s="4">
        <v>95506</v>
      </c>
      <c r="I190" s="4" t="s">
        <v>16</v>
      </c>
      <c r="J190" s="4">
        <v>3</v>
      </c>
      <c r="K190" s="4">
        <f t="shared" si="4"/>
        <v>2.1424657534246574</v>
      </c>
      <c r="L190" s="4" t="str" cm="1">
        <f t="array" ref="L190">_xlfn.IFS(E190&gt;=40,"Senior",E190&gt;=30,"Menior",E190&lt;30,"Fresher")</f>
        <v>Senior</v>
      </c>
      <c r="M190" s="4" t="str" cm="1">
        <f t="array" ref="M190">_xlfn.IFS(J190&gt;4,"High rating",J190&gt;=3,"Medium rating",J190&lt;3,"Low rating")</f>
        <v>Medium rating</v>
      </c>
      <c r="N190" s="4" t="str">
        <f t="shared" si="5"/>
        <v>no</v>
      </c>
      <c r="O190">
        <v>2021</v>
      </c>
    </row>
    <row r="191" spans="1:15" x14ac:dyDescent="0.25">
      <c r="A191" s="4" t="s">
        <v>482</v>
      </c>
      <c r="B191" s="4" t="s">
        <v>52</v>
      </c>
      <c r="C191" s="4" t="s">
        <v>34</v>
      </c>
      <c r="D191" s="4" t="s">
        <v>20</v>
      </c>
      <c r="E191" s="4">
        <v>43</v>
      </c>
      <c r="F191" s="4" t="s">
        <v>483</v>
      </c>
      <c r="G191" s="4" t="s">
        <v>484</v>
      </c>
      <c r="H191" s="4">
        <v>107671</v>
      </c>
      <c r="I191" s="4" t="s">
        <v>16</v>
      </c>
      <c r="J191" s="4">
        <v>5</v>
      </c>
      <c r="K191" s="4">
        <f t="shared" si="4"/>
        <v>0.11232876712328767</v>
      </c>
      <c r="L191" s="4" t="str" cm="1">
        <f t="array" ref="L191">_xlfn.IFS(E191&gt;=40,"Senior",E191&gt;=30,"Menior",E191&lt;30,"Fresher")</f>
        <v>Senior</v>
      </c>
      <c r="M191" s="4" t="str" cm="1">
        <f t="array" ref="M191">_xlfn.IFS(J191&gt;4,"High rating",J191&gt;=3,"Medium rating",J191&lt;3,"Low rating")</f>
        <v>High rating</v>
      </c>
      <c r="N191" s="4" t="str">
        <f t="shared" si="5"/>
        <v>yes</v>
      </c>
      <c r="O191">
        <v>2016</v>
      </c>
    </row>
    <row r="192" spans="1:15" x14ac:dyDescent="0.25">
      <c r="A192" s="4" t="s">
        <v>485</v>
      </c>
      <c r="B192" s="4" t="s">
        <v>40</v>
      </c>
      <c r="C192" s="4" t="s">
        <v>12</v>
      </c>
      <c r="D192" s="4" t="s">
        <v>13</v>
      </c>
      <c r="E192" s="4">
        <v>31</v>
      </c>
      <c r="F192" s="4" t="s">
        <v>486</v>
      </c>
      <c r="G192" s="4" t="s">
        <v>378</v>
      </c>
      <c r="H192" s="4">
        <v>74959</v>
      </c>
      <c r="I192" s="4" t="s">
        <v>16</v>
      </c>
      <c r="J192" s="4">
        <v>1</v>
      </c>
      <c r="K192" s="4">
        <f t="shared" si="4"/>
        <v>2.7397260273972601</v>
      </c>
      <c r="L192" s="4" t="str" cm="1">
        <f t="array" ref="L192">_xlfn.IFS(E192&gt;=40,"Senior",E192&gt;=30,"Menior",E192&lt;30,"Fresher")</f>
        <v>Menior</v>
      </c>
      <c r="M192" s="4" t="str" cm="1">
        <f t="array" ref="M192">_xlfn.IFS(J192&gt;4,"High rating",J192&gt;=3,"Medium rating",J192&lt;3,"Low rating")</f>
        <v>Low rating</v>
      </c>
      <c r="N192" s="4" t="str">
        <f t="shared" si="5"/>
        <v>no</v>
      </c>
      <c r="O192">
        <v>2016</v>
      </c>
    </row>
    <row r="193" spans="1:15" x14ac:dyDescent="0.25">
      <c r="A193" s="4" t="s">
        <v>487</v>
      </c>
      <c r="B193" s="4" t="s">
        <v>73</v>
      </c>
      <c r="C193" s="4" t="s">
        <v>34</v>
      </c>
      <c r="D193" s="4" t="s">
        <v>13</v>
      </c>
      <c r="E193" s="4">
        <v>46</v>
      </c>
      <c r="F193" s="4" t="s">
        <v>488</v>
      </c>
      <c r="G193" s="4"/>
      <c r="H193" s="4">
        <v>44203</v>
      </c>
      <c r="I193" s="4" t="s">
        <v>22</v>
      </c>
      <c r="J193" s="4">
        <v>4</v>
      </c>
      <c r="K193" s="4"/>
      <c r="L193" s="4" t="str" cm="1">
        <f t="array" ref="L193">_xlfn.IFS(E193&gt;=40,"Senior",E193&gt;=30,"Menior",E193&lt;30,"Fresher")</f>
        <v>Senior</v>
      </c>
      <c r="M193" s="4" t="str" cm="1">
        <f t="array" ref="M193">_xlfn.IFS(J193&gt;4,"High rating",J193&gt;=3,"Medium rating",J193&lt;3,"Low rating")</f>
        <v>Medium rating</v>
      </c>
      <c r="N193" s="4"/>
      <c r="O193">
        <v>2020</v>
      </c>
    </row>
    <row r="194" spans="1:15" x14ac:dyDescent="0.25">
      <c r="A194" s="4" t="s">
        <v>489</v>
      </c>
      <c r="B194" s="4" t="s">
        <v>52</v>
      </c>
      <c r="C194" s="4" t="s">
        <v>19</v>
      </c>
      <c r="D194" s="4" t="s">
        <v>20</v>
      </c>
      <c r="E194" s="4">
        <v>47</v>
      </c>
      <c r="F194" s="4" t="s">
        <v>490</v>
      </c>
      <c r="G194" s="4"/>
      <c r="H194" s="4">
        <v>118954</v>
      </c>
      <c r="I194" s="4" t="s">
        <v>22</v>
      </c>
      <c r="J194" s="4">
        <v>2</v>
      </c>
      <c r="K194" s="4"/>
      <c r="L194" s="4" t="str" cm="1">
        <f t="array" ref="L194">_xlfn.IFS(E194&gt;=40,"Senior",E194&gt;=30,"Menior",E194&lt;30,"Fresher")</f>
        <v>Senior</v>
      </c>
      <c r="M194" s="4" t="str" cm="1">
        <f t="array" ref="M194">_xlfn.IFS(J194&gt;4,"High rating",J194&gt;=3,"Medium rating",J194&lt;3,"Low rating")</f>
        <v>Low rating</v>
      </c>
      <c r="N194" s="4"/>
      <c r="O194">
        <v>2022</v>
      </c>
    </row>
    <row r="195" spans="1:15" x14ac:dyDescent="0.25">
      <c r="A195" s="4" t="s">
        <v>491</v>
      </c>
      <c r="B195" s="4" t="s">
        <v>83</v>
      </c>
      <c r="C195" s="4" t="s">
        <v>27</v>
      </c>
      <c r="D195" s="4" t="s">
        <v>13</v>
      </c>
      <c r="E195" s="4">
        <v>25</v>
      </c>
      <c r="F195" s="4" t="s">
        <v>492</v>
      </c>
      <c r="G195" s="4" t="s">
        <v>493</v>
      </c>
      <c r="H195" s="4">
        <v>78614</v>
      </c>
      <c r="I195" s="4" t="s">
        <v>16</v>
      </c>
      <c r="J195" s="4">
        <v>5</v>
      </c>
      <c r="K195" s="4">
        <f t="shared" ref="K195:K258" si="6">(G195-F195)/365</f>
        <v>2.6547945205479451</v>
      </c>
      <c r="L195" s="4" t="str" cm="1">
        <f t="array" ref="L195">_xlfn.IFS(E195&gt;=40,"Senior",E195&gt;=30,"Menior",E195&lt;30,"Fresher")</f>
        <v>Fresher</v>
      </c>
      <c r="M195" s="4" t="str" cm="1">
        <f t="array" ref="M195">_xlfn.IFS(J195&gt;4,"High rating",J195&gt;=3,"Medium rating",J195&lt;3,"Low rating")</f>
        <v>High rating</v>
      </c>
      <c r="N195" s="4" t="str">
        <f t="shared" ref="N195:N258" si="7">IF(AND(G195&lt;&gt;"",DATEDIF(F195,G195,"y")&lt;2),"yes","no")</f>
        <v>no</v>
      </c>
      <c r="O195">
        <v>2021</v>
      </c>
    </row>
    <row r="196" spans="1:15" x14ac:dyDescent="0.25">
      <c r="A196" s="4" t="s">
        <v>494</v>
      </c>
      <c r="B196" s="4" t="s">
        <v>40</v>
      </c>
      <c r="C196" s="4" t="s">
        <v>24</v>
      </c>
      <c r="D196" s="4" t="s">
        <v>13</v>
      </c>
      <c r="E196" s="4">
        <v>42</v>
      </c>
      <c r="F196" s="4" t="s">
        <v>495</v>
      </c>
      <c r="G196" s="4" t="s">
        <v>496</v>
      </c>
      <c r="H196" s="4">
        <v>70986</v>
      </c>
      <c r="I196" s="4" t="s">
        <v>16</v>
      </c>
      <c r="J196" s="4">
        <v>4</v>
      </c>
      <c r="K196" s="4">
        <f t="shared" si="6"/>
        <v>0.32054794520547947</v>
      </c>
      <c r="L196" s="4" t="str" cm="1">
        <f t="array" ref="L196">_xlfn.IFS(E196&gt;=40,"Senior",E196&gt;=30,"Menior",E196&lt;30,"Fresher")</f>
        <v>Senior</v>
      </c>
      <c r="M196" s="4" t="str" cm="1">
        <f t="array" ref="M196">_xlfn.IFS(J196&gt;4,"High rating",J196&gt;=3,"Medium rating",J196&lt;3,"Low rating")</f>
        <v>Medium rating</v>
      </c>
      <c r="N196" s="4" t="str">
        <f t="shared" si="7"/>
        <v>yes</v>
      </c>
      <c r="O196">
        <v>2017</v>
      </c>
    </row>
    <row r="197" spans="1:15" x14ac:dyDescent="0.25">
      <c r="A197" s="4" t="s">
        <v>497</v>
      </c>
      <c r="B197" s="4" t="s">
        <v>37</v>
      </c>
      <c r="C197" s="4" t="s">
        <v>19</v>
      </c>
      <c r="D197" s="4" t="s">
        <v>13</v>
      </c>
      <c r="E197" s="4">
        <v>48</v>
      </c>
      <c r="F197" s="4" t="s">
        <v>498</v>
      </c>
      <c r="G197" s="4"/>
      <c r="H197" s="4">
        <v>84885</v>
      </c>
      <c r="I197" s="4" t="s">
        <v>22</v>
      </c>
      <c r="J197" s="4">
        <v>4</v>
      </c>
      <c r="K197" s="4"/>
      <c r="L197" s="4" t="str" cm="1">
        <f t="array" ref="L197">_xlfn.IFS(E197&gt;=40,"Senior",E197&gt;=30,"Menior",E197&lt;30,"Fresher")</f>
        <v>Senior</v>
      </c>
      <c r="M197" s="4" t="str" cm="1">
        <f t="array" ref="M197">_xlfn.IFS(J197&gt;4,"High rating",J197&gt;=3,"Medium rating",J197&lt;3,"Low rating")</f>
        <v>Medium rating</v>
      </c>
      <c r="N197" s="4"/>
      <c r="O197">
        <v>2017</v>
      </c>
    </row>
    <row r="198" spans="1:15" x14ac:dyDescent="0.25">
      <c r="A198" s="4" t="s">
        <v>499</v>
      </c>
      <c r="B198" s="4" t="s">
        <v>73</v>
      </c>
      <c r="C198" s="4" t="s">
        <v>19</v>
      </c>
      <c r="D198" s="4" t="s">
        <v>20</v>
      </c>
      <c r="E198" s="4">
        <v>44</v>
      </c>
      <c r="F198" s="4" t="s">
        <v>500</v>
      </c>
      <c r="G198" s="4"/>
      <c r="H198" s="4">
        <v>42401</v>
      </c>
      <c r="I198" s="4" t="s">
        <v>22</v>
      </c>
      <c r="J198" s="4">
        <v>3</v>
      </c>
      <c r="K198" s="4"/>
      <c r="L198" s="4" t="str" cm="1">
        <f t="array" ref="L198">_xlfn.IFS(E198&gt;=40,"Senior",E198&gt;=30,"Menior",E198&lt;30,"Fresher")</f>
        <v>Senior</v>
      </c>
      <c r="M198" s="4" t="str" cm="1">
        <f t="array" ref="M198">_xlfn.IFS(J198&gt;4,"High rating",J198&gt;=3,"Medium rating",J198&lt;3,"Low rating")</f>
        <v>Medium rating</v>
      </c>
      <c r="N198" s="4"/>
      <c r="O198">
        <v>2018</v>
      </c>
    </row>
    <row r="199" spans="1:15" x14ac:dyDescent="0.25">
      <c r="A199" s="4" t="s">
        <v>501</v>
      </c>
      <c r="B199" s="4" t="s">
        <v>44</v>
      </c>
      <c r="C199" s="4" t="s">
        <v>24</v>
      </c>
      <c r="D199" s="4" t="s">
        <v>20</v>
      </c>
      <c r="E199" s="4">
        <v>29</v>
      </c>
      <c r="F199" s="4" t="s">
        <v>502</v>
      </c>
      <c r="G199" s="4"/>
      <c r="H199" s="4">
        <v>42824</v>
      </c>
      <c r="I199" s="4" t="s">
        <v>22</v>
      </c>
      <c r="J199" s="4">
        <v>2</v>
      </c>
      <c r="K199" s="4"/>
      <c r="L199" s="4" t="str" cm="1">
        <f t="array" ref="L199">_xlfn.IFS(E199&gt;=40,"Senior",E199&gt;=30,"Menior",E199&lt;30,"Fresher")</f>
        <v>Fresher</v>
      </c>
      <c r="M199" s="4" t="str" cm="1">
        <f t="array" ref="M199">_xlfn.IFS(J199&gt;4,"High rating",J199&gt;=3,"Medium rating",J199&lt;3,"Low rating")</f>
        <v>Low rating</v>
      </c>
      <c r="N199" s="4"/>
      <c r="O199">
        <v>2017</v>
      </c>
    </row>
    <row r="200" spans="1:15" x14ac:dyDescent="0.25">
      <c r="A200" s="4" t="s">
        <v>503</v>
      </c>
      <c r="B200" s="4" t="s">
        <v>58</v>
      </c>
      <c r="C200" s="4" t="s">
        <v>24</v>
      </c>
      <c r="D200" s="4" t="s">
        <v>20</v>
      </c>
      <c r="E200" s="4">
        <v>37</v>
      </c>
      <c r="F200" s="4" t="s">
        <v>504</v>
      </c>
      <c r="G200" s="4" t="s">
        <v>505</v>
      </c>
      <c r="H200" s="4">
        <v>70664</v>
      </c>
      <c r="I200" s="4" t="s">
        <v>16</v>
      </c>
      <c r="J200" s="4">
        <v>1</v>
      </c>
      <c r="K200" s="4">
        <f t="shared" si="6"/>
        <v>3.3232876712328765</v>
      </c>
      <c r="L200" s="4" t="str" cm="1">
        <f t="array" ref="L200">_xlfn.IFS(E200&gt;=40,"Senior",E200&gt;=30,"Menior",E200&lt;30,"Fresher")</f>
        <v>Menior</v>
      </c>
      <c r="M200" s="4" t="str" cm="1">
        <f t="array" ref="M200">_xlfn.IFS(J200&gt;4,"High rating",J200&gt;=3,"Medium rating",J200&lt;3,"Low rating")</f>
        <v>Low rating</v>
      </c>
      <c r="N200" s="4" t="str">
        <f t="shared" si="7"/>
        <v>no</v>
      </c>
      <c r="O200">
        <v>2016</v>
      </c>
    </row>
    <row r="201" spans="1:15" x14ac:dyDescent="0.25">
      <c r="A201" s="4" t="s">
        <v>506</v>
      </c>
      <c r="B201" s="4" t="s">
        <v>37</v>
      </c>
      <c r="C201" s="4" t="s">
        <v>27</v>
      </c>
      <c r="D201" s="4" t="s">
        <v>13</v>
      </c>
      <c r="E201" s="4">
        <v>34</v>
      </c>
      <c r="F201" s="4" t="s">
        <v>507</v>
      </c>
      <c r="G201" s="4" t="s">
        <v>508</v>
      </c>
      <c r="H201" s="4">
        <v>111564</v>
      </c>
      <c r="I201" s="4" t="s">
        <v>16</v>
      </c>
      <c r="J201" s="4">
        <v>1</v>
      </c>
      <c r="K201" s="4">
        <f t="shared" si="6"/>
        <v>2.5561643835616437</v>
      </c>
      <c r="L201" s="4" t="str" cm="1">
        <f t="array" ref="L201">_xlfn.IFS(E201&gt;=40,"Senior",E201&gt;=30,"Menior",E201&lt;30,"Fresher")</f>
        <v>Menior</v>
      </c>
      <c r="M201" s="4" t="str" cm="1">
        <f t="array" ref="M201">_xlfn.IFS(J201&gt;4,"High rating",J201&gt;=3,"Medium rating",J201&lt;3,"Low rating")</f>
        <v>Low rating</v>
      </c>
      <c r="N201" s="4" t="str">
        <f t="shared" si="7"/>
        <v>no</v>
      </c>
      <c r="O201">
        <v>2018</v>
      </c>
    </row>
    <row r="202" spans="1:15" x14ac:dyDescent="0.25">
      <c r="A202" s="4" t="s">
        <v>509</v>
      </c>
      <c r="B202" s="4" t="s">
        <v>33</v>
      </c>
      <c r="C202" s="4" t="s">
        <v>24</v>
      </c>
      <c r="D202" s="4" t="s">
        <v>13</v>
      </c>
      <c r="E202" s="4">
        <v>34</v>
      </c>
      <c r="F202" s="4" t="s">
        <v>69</v>
      </c>
      <c r="G202" s="4"/>
      <c r="H202" s="4">
        <v>33083</v>
      </c>
      <c r="I202" s="4" t="s">
        <v>22</v>
      </c>
      <c r="J202" s="4">
        <v>2</v>
      </c>
      <c r="K202" s="4"/>
      <c r="L202" s="4" t="str" cm="1">
        <f t="array" ref="L202">_xlfn.IFS(E202&gt;=40,"Senior",E202&gt;=30,"Menior",E202&lt;30,"Fresher")</f>
        <v>Menior</v>
      </c>
      <c r="M202" s="4" t="str" cm="1">
        <f t="array" ref="M202">_xlfn.IFS(J202&gt;4,"High rating",J202&gt;=3,"Medium rating",J202&lt;3,"Low rating")</f>
        <v>Low rating</v>
      </c>
      <c r="N202" s="4"/>
      <c r="O202">
        <v>2020</v>
      </c>
    </row>
    <row r="203" spans="1:15" x14ac:dyDescent="0.25">
      <c r="A203" s="4" t="s">
        <v>510</v>
      </c>
      <c r="B203" s="4" t="s">
        <v>83</v>
      </c>
      <c r="C203" s="4" t="s">
        <v>27</v>
      </c>
      <c r="D203" s="4" t="s">
        <v>13</v>
      </c>
      <c r="E203" s="4">
        <v>25</v>
      </c>
      <c r="F203" s="4" t="s">
        <v>511</v>
      </c>
      <c r="G203" s="4" t="s">
        <v>512</v>
      </c>
      <c r="H203" s="4">
        <v>33603</v>
      </c>
      <c r="I203" s="4" t="s">
        <v>16</v>
      </c>
      <c r="J203" s="4">
        <v>4</v>
      </c>
      <c r="K203" s="4">
        <f t="shared" si="6"/>
        <v>3.0630136986301371</v>
      </c>
      <c r="L203" s="4" t="str" cm="1">
        <f t="array" ref="L203">_xlfn.IFS(E203&gt;=40,"Senior",E203&gt;=30,"Menior",E203&lt;30,"Fresher")</f>
        <v>Fresher</v>
      </c>
      <c r="M203" s="4" t="str" cm="1">
        <f t="array" ref="M203">_xlfn.IFS(J203&gt;4,"High rating",J203&gt;=3,"Medium rating",J203&lt;3,"Low rating")</f>
        <v>Medium rating</v>
      </c>
      <c r="N203" s="4" t="str">
        <f t="shared" si="7"/>
        <v>no</v>
      </c>
      <c r="O203">
        <v>2018</v>
      </c>
    </row>
    <row r="204" spans="1:15" x14ac:dyDescent="0.25">
      <c r="A204" s="4" t="s">
        <v>513</v>
      </c>
      <c r="B204" s="4" t="s">
        <v>18</v>
      </c>
      <c r="C204" s="4" t="s">
        <v>12</v>
      </c>
      <c r="D204" s="4" t="s">
        <v>20</v>
      </c>
      <c r="E204" s="4">
        <v>46</v>
      </c>
      <c r="F204" s="4" t="s">
        <v>438</v>
      </c>
      <c r="G204" s="4" t="s">
        <v>514</v>
      </c>
      <c r="H204" s="4">
        <v>38283</v>
      </c>
      <c r="I204" s="4" t="s">
        <v>16</v>
      </c>
      <c r="J204" s="4">
        <v>2</v>
      </c>
      <c r="K204" s="4">
        <f t="shared" si="6"/>
        <v>1.0136986301369864</v>
      </c>
      <c r="L204" s="4" t="str" cm="1">
        <f t="array" ref="L204">_xlfn.IFS(E204&gt;=40,"Senior",E204&gt;=30,"Menior",E204&lt;30,"Fresher")</f>
        <v>Senior</v>
      </c>
      <c r="M204" s="4" t="str" cm="1">
        <f t="array" ref="M204">_xlfn.IFS(J204&gt;4,"High rating",J204&gt;=3,"Medium rating",J204&lt;3,"Low rating")</f>
        <v>Low rating</v>
      </c>
      <c r="N204" s="4" t="str">
        <f t="shared" si="7"/>
        <v>yes</v>
      </c>
      <c r="O204">
        <v>2016</v>
      </c>
    </row>
    <row r="205" spans="1:15" x14ac:dyDescent="0.25">
      <c r="A205" s="4" t="s">
        <v>515</v>
      </c>
      <c r="B205" s="4" t="s">
        <v>52</v>
      </c>
      <c r="C205" s="4" t="s">
        <v>27</v>
      </c>
      <c r="D205" s="4" t="s">
        <v>20</v>
      </c>
      <c r="E205" s="4">
        <v>36</v>
      </c>
      <c r="F205" s="4" t="s">
        <v>516</v>
      </c>
      <c r="G205" s="4"/>
      <c r="H205" s="4">
        <v>34042</v>
      </c>
      <c r="I205" s="4" t="s">
        <v>22</v>
      </c>
      <c r="J205" s="4">
        <v>2</v>
      </c>
      <c r="K205" s="4"/>
      <c r="L205" s="4" t="str" cm="1">
        <f t="array" ref="L205">_xlfn.IFS(E205&gt;=40,"Senior",E205&gt;=30,"Menior",E205&lt;30,"Fresher")</f>
        <v>Menior</v>
      </c>
      <c r="M205" s="4" t="str" cm="1">
        <f t="array" ref="M205">_xlfn.IFS(J205&gt;4,"High rating",J205&gt;=3,"Medium rating",J205&lt;3,"Low rating")</f>
        <v>Low rating</v>
      </c>
      <c r="N205" s="4"/>
      <c r="O205">
        <v>2018</v>
      </c>
    </row>
    <row r="206" spans="1:15" x14ac:dyDescent="0.25">
      <c r="A206" s="4" t="s">
        <v>517</v>
      </c>
      <c r="B206" s="4" t="s">
        <v>83</v>
      </c>
      <c r="C206" s="4" t="s">
        <v>19</v>
      </c>
      <c r="D206" s="4" t="s">
        <v>20</v>
      </c>
      <c r="E206" s="4">
        <v>23</v>
      </c>
      <c r="F206" s="4" t="s">
        <v>518</v>
      </c>
      <c r="G206" s="4" t="s">
        <v>519</v>
      </c>
      <c r="H206" s="4">
        <v>53494</v>
      </c>
      <c r="I206" s="4" t="s">
        <v>16</v>
      </c>
      <c r="J206" s="4">
        <v>2</v>
      </c>
      <c r="K206" s="4">
        <f t="shared" si="6"/>
        <v>0.78630136986301369</v>
      </c>
      <c r="L206" s="4" t="str" cm="1">
        <f t="array" ref="L206">_xlfn.IFS(E206&gt;=40,"Senior",E206&gt;=30,"Menior",E206&lt;30,"Fresher")</f>
        <v>Fresher</v>
      </c>
      <c r="M206" s="4" t="str" cm="1">
        <f t="array" ref="M206">_xlfn.IFS(J206&gt;4,"High rating",J206&gt;=3,"Medium rating",J206&lt;3,"Low rating")</f>
        <v>Low rating</v>
      </c>
      <c r="N206" s="4" t="str">
        <f t="shared" si="7"/>
        <v>yes</v>
      </c>
      <c r="O206">
        <v>2019</v>
      </c>
    </row>
    <row r="207" spans="1:15" x14ac:dyDescent="0.25">
      <c r="A207" s="4" t="s">
        <v>520</v>
      </c>
      <c r="B207" s="4" t="s">
        <v>52</v>
      </c>
      <c r="C207" s="4" t="s">
        <v>34</v>
      </c>
      <c r="D207" s="4" t="s">
        <v>20</v>
      </c>
      <c r="E207" s="4">
        <v>36</v>
      </c>
      <c r="F207" s="4" t="s">
        <v>521</v>
      </c>
      <c r="G207" s="4"/>
      <c r="H207" s="4">
        <v>63281</v>
      </c>
      <c r="I207" s="4" t="s">
        <v>22</v>
      </c>
      <c r="J207" s="4">
        <v>2</v>
      </c>
      <c r="K207" s="4"/>
      <c r="L207" s="4" t="str" cm="1">
        <f t="array" ref="L207">_xlfn.IFS(E207&gt;=40,"Senior",E207&gt;=30,"Menior",E207&lt;30,"Fresher")</f>
        <v>Menior</v>
      </c>
      <c r="M207" s="4" t="str" cm="1">
        <f t="array" ref="M207">_xlfn.IFS(J207&gt;4,"High rating",J207&gt;=3,"Medium rating",J207&lt;3,"Low rating")</f>
        <v>Low rating</v>
      </c>
      <c r="N207" s="4"/>
      <c r="O207">
        <v>2022</v>
      </c>
    </row>
    <row r="208" spans="1:15" x14ac:dyDescent="0.25">
      <c r="A208" s="4" t="s">
        <v>522</v>
      </c>
      <c r="B208" s="4" t="s">
        <v>37</v>
      </c>
      <c r="C208" s="4" t="s">
        <v>12</v>
      </c>
      <c r="D208" s="4" t="s">
        <v>13</v>
      </c>
      <c r="E208" s="4">
        <v>45</v>
      </c>
      <c r="F208" s="4" t="s">
        <v>523</v>
      </c>
      <c r="G208" s="4" t="s">
        <v>524</v>
      </c>
      <c r="H208" s="4">
        <v>112965</v>
      </c>
      <c r="I208" s="4" t="s">
        <v>16</v>
      </c>
      <c r="J208" s="4">
        <v>5</v>
      </c>
      <c r="K208" s="4">
        <f t="shared" si="6"/>
        <v>1.9205479452054794</v>
      </c>
      <c r="L208" s="4" t="str" cm="1">
        <f t="array" ref="L208">_xlfn.IFS(E208&gt;=40,"Senior",E208&gt;=30,"Menior",E208&lt;30,"Fresher")</f>
        <v>Senior</v>
      </c>
      <c r="M208" s="4" t="str" cm="1">
        <f t="array" ref="M208">_xlfn.IFS(J208&gt;4,"High rating",J208&gt;=3,"Medium rating",J208&lt;3,"Low rating")</f>
        <v>High rating</v>
      </c>
      <c r="N208" s="4" t="str">
        <f t="shared" si="7"/>
        <v>yes</v>
      </c>
      <c r="O208">
        <v>2016</v>
      </c>
    </row>
    <row r="209" spans="1:15" x14ac:dyDescent="0.25">
      <c r="A209" s="4" t="s">
        <v>525</v>
      </c>
      <c r="B209" s="4" t="s">
        <v>73</v>
      </c>
      <c r="C209" s="4" t="s">
        <v>24</v>
      </c>
      <c r="D209" s="4" t="s">
        <v>20</v>
      </c>
      <c r="E209" s="4">
        <v>40</v>
      </c>
      <c r="F209" s="4" t="s">
        <v>526</v>
      </c>
      <c r="G209" s="4"/>
      <c r="H209" s="4">
        <v>39180</v>
      </c>
      <c r="I209" s="4" t="s">
        <v>22</v>
      </c>
      <c r="J209" s="4">
        <v>3</v>
      </c>
      <c r="K209" s="4"/>
      <c r="L209" s="4" t="str" cm="1">
        <f t="array" ref="L209">_xlfn.IFS(E209&gt;=40,"Senior",E209&gt;=30,"Menior",E209&lt;30,"Fresher")</f>
        <v>Senior</v>
      </c>
      <c r="M209" s="4" t="str" cm="1">
        <f t="array" ref="M209">_xlfn.IFS(J209&gt;4,"High rating",J209&gt;=3,"Medium rating",J209&lt;3,"Low rating")</f>
        <v>Medium rating</v>
      </c>
      <c r="N209" s="4"/>
      <c r="O209">
        <v>2023</v>
      </c>
    </row>
    <row r="210" spans="1:15" x14ac:dyDescent="0.25">
      <c r="A210" s="4" t="s">
        <v>527</v>
      </c>
      <c r="B210" s="4" t="s">
        <v>33</v>
      </c>
      <c r="C210" s="4" t="s">
        <v>19</v>
      </c>
      <c r="D210" s="4" t="s">
        <v>20</v>
      </c>
      <c r="E210" s="4">
        <v>44</v>
      </c>
      <c r="F210" s="4" t="s">
        <v>528</v>
      </c>
      <c r="G210" s="4" t="s">
        <v>451</v>
      </c>
      <c r="H210" s="4">
        <v>106438</v>
      </c>
      <c r="I210" s="4" t="s">
        <v>16</v>
      </c>
      <c r="J210" s="4">
        <v>2</v>
      </c>
      <c r="K210" s="4">
        <f t="shared" si="6"/>
        <v>2.1561643835616437</v>
      </c>
      <c r="L210" s="4" t="str" cm="1">
        <f t="array" ref="L210">_xlfn.IFS(E210&gt;=40,"Senior",E210&gt;=30,"Menior",E210&lt;30,"Fresher")</f>
        <v>Senior</v>
      </c>
      <c r="M210" s="4" t="str" cm="1">
        <f t="array" ref="M210">_xlfn.IFS(J210&gt;4,"High rating",J210&gt;=3,"Medium rating",J210&lt;3,"Low rating")</f>
        <v>Low rating</v>
      </c>
      <c r="N210" s="4" t="str">
        <f t="shared" si="7"/>
        <v>no</v>
      </c>
      <c r="O210">
        <v>2017</v>
      </c>
    </row>
    <row r="211" spans="1:15" x14ac:dyDescent="0.25">
      <c r="A211" s="4" t="s">
        <v>529</v>
      </c>
      <c r="B211" s="4" t="s">
        <v>73</v>
      </c>
      <c r="C211" s="4" t="s">
        <v>27</v>
      </c>
      <c r="D211" s="4" t="s">
        <v>20</v>
      </c>
      <c r="E211" s="4">
        <v>46</v>
      </c>
      <c r="F211" s="4" t="s">
        <v>530</v>
      </c>
      <c r="G211" s="4" t="s">
        <v>531</v>
      </c>
      <c r="H211" s="4">
        <v>114178</v>
      </c>
      <c r="I211" s="4" t="s">
        <v>16</v>
      </c>
      <c r="J211" s="4">
        <v>2</v>
      </c>
      <c r="K211" s="4">
        <f t="shared" si="6"/>
        <v>2.3945205479452056</v>
      </c>
      <c r="L211" s="4" t="str" cm="1">
        <f t="array" ref="L211">_xlfn.IFS(E211&gt;=40,"Senior",E211&gt;=30,"Menior",E211&lt;30,"Fresher")</f>
        <v>Senior</v>
      </c>
      <c r="M211" s="4" t="str" cm="1">
        <f t="array" ref="M211">_xlfn.IFS(J211&gt;4,"High rating",J211&gt;=3,"Medium rating",J211&lt;3,"Low rating")</f>
        <v>Low rating</v>
      </c>
      <c r="N211" s="4" t="str">
        <f t="shared" si="7"/>
        <v>no</v>
      </c>
      <c r="O211">
        <v>2023</v>
      </c>
    </row>
    <row r="212" spans="1:15" x14ac:dyDescent="0.25">
      <c r="A212" s="4" t="s">
        <v>532</v>
      </c>
      <c r="B212" s="4" t="s">
        <v>40</v>
      </c>
      <c r="C212" s="4" t="s">
        <v>34</v>
      </c>
      <c r="D212" s="4" t="s">
        <v>20</v>
      </c>
      <c r="E212" s="4">
        <v>49</v>
      </c>
      <c r="F212" s="4" t="s">
        <v>533</v>
      </c>
      <c r="G212" s="4" t="s">
        <v>534</v>
      </c>
      <c r="H212" s="4">
        <v>48666</v>
      </c>
      <c r="I212" s="4" t="s">
        <v>16</v>
      </c>
      <c r="J212" s="4">
        <v>4</v>
      </c>
      <c r="K212" s="4">
        <f t="shared" si="6"/>
        <v>1.9753424657534246</v>
      </c>
      <c r="L212" s="4" t="str" cm="1">
        <f t="array" ref="L212">_xlfn.IFS(E212&gt;=40,"Senior",E212&gt;=30,"Menior",E212&lt;30,"Fresher")</f>
        <v>Senior</v>
      </c>
      <c r="M212" s="4" t="str" cm="1">
        <f t="array" ref="M212">_xlfn.IFS(J212&gt;4,"High rating",J212&gt;=3,"Medium rating",J212&lt;3,"Low rating")</f>
        <v>Medium rating</v>
      </c>
      <c r="N212" s="4" t="str">
        <f t="shared" si="7"/>
        <v>yes</v>
      </c>
      <c r="O212">
        <v>2020</v>
      </c>
    </row>
    <row r="213" spans="1:15" x14ac:dyDescent="0.25">
      <c r="A213" s="4" t="s">
        <v>535</v>
      </c>
      <c r="B213" s="4" t="s">
        <v>44</v>
      </c>
      <c r="C213" s="4" t="s">
        <v>27</v>
      </c>
      <c r="D213" s="4" t="s">
        <v>13</v>
      </c>
      <c r="E213" s="4">
        <v>48</v>
      </c>
      <c r="F213" s="4" t="s">
        <v>536</v>
      </c>
      <c r="G213" s="4"/>
      <c r="H213" s="4">
        <v>115115</v>
      </c>
      <c r="I213" s="4" t="s">
        <v>22</v>
      </c>
      <c r="J213" s="4">
        <v>3</v>
      </c>
      <c r="K213" s="4"/>
      <c r="L213" s="4" t="str" cm="1">
        <f t="array" ref="L213">_xlfn.IFS(E213&gt;=40,"Senior",E213&gt;=30,"Menior",E213&lt;30,"Fresher")</f>
        <v>Senior</v>
      </c>
      <c r="M213" s="4" t="str" cm="1">
        <f t="array" ref="M213">_xlfn.IFS(J213&gt;4,"High rating",J213&gt;=3,"Medium rating",J213&lt;3,"Low rating")</f>
        <v>Medium rating</v>
      </c>
      <c r="N213" s="4"/>
      <c r="O213">
        <v>2018</v>
      </c>
    </row>
    <row r="214" spans="1:15" x14ac:dyDescent="0.25">
      <c r="A214" s="4" t="s">
        <v>537</v>
      </c>
      <c r="B214" s="4" t="s">
        <v>11</v>
      </c>
      <c r="C214" s="4" t="s">
        <v>34</v>
      </c>
      <c r="D214" s="4" t="s">
        <v>13</v>
      </c>
      <c r="E214" s="4">
        <v>37</v>
      </c>
      <c r="F214" s="4" t="s">
        <v>538</v>
      </c>
      <c r="G214" s="4"/>
      <c r="H214" s="4">
        <v>44789</v>
      </c>
      <c r="I214" s="4" t="s">
        <v>22</v>
      </c>
      <c r="J214" s="4">
        <v>5</v>
      </c>
      <c r="K214" s="4"/>
      <c r="L214" s="4" t="str" cm="1">
        <f t="array" ref="L214">_xlfn.IFS(E214&gt;=40,"Senior",E214&gt;=30,"Menior",E214&lt;30,"Fresher")</f>
        <v>Menior</v>
      </c>
      <c r="M214" s="4" t="str" cm="1">
        <f t="array" ref="M214">_xlfn.IFS(J214&gt;4,"High rating",J214&gt;=3,"Medium rating",J214&lt;3,"Low rating")</f>
        <v>High rating</v>
      </c>
      <c r="N214" s="4"/>
      <c r="O214">
        <v>2018</v>
      </c>
    </row>
    <row r="215" spans="1:15" x14ac:dyDescent="0.25">
      <c r="A215" s="4" t="s">
        <v>539</v>
      </c>
      <c r="B215" s="4" t="s">
        <v>73</v>
      </c>
      <c r="C215" s="4" t="s">
        <v>34</v>
      </c>
      <c r="D215" s="4" t="s">
        <v>20</v>
      </c>
      <c r="E215" s="4">
        <v>42</v>
      </c>
      <c r="F215" s="4" t="s">
        <v>540</v>
      </c>
      <c r="G215" s="4" t="s">
        <v>541</v>
      </c>
      <c r="H215" s="4">
        <v>34019</v>
      </c>
      <c r="I215" s="4" t="s">
        <v>16</v>
      </c>
      <c r="J215" s="4">
        <v>1</v>
      </c>
      <c r="K215" s="4">
        <f t="shared" si="6"/>
        <v>3.0657534246575344</v>
      </c>
      <c r="L215" s="4" t="str" cm="1">
        <f t="array" ref="L215">_xlfn.IFS(E215&gt;=40,"Senior",E215&gt;=30,"Menior",E215&lt;30,"Fresher")</f>
        <v>Senior</v>
      </c>
      <c r="M215" s="4" t="str" cm="1">
        <f t="array" ref="M215">_xlfn.IFS(J215&gt;4,"High rating",J215&gt;=3,"Medium rating",J215&lt;3,"Low rating")</f>
        <v>Low rating</v>
      </c>
      <c r="N215" s="4" t="str">
        <f t="shared" si="7"/>
        <v>no</v>
      </c>
      <c r="O215">
        <v>2017</v>
      </c>
    </row>
    <row r="216" spans="1:15" x14ac:dyDescent="0.25">
      <c r="A216" s="4" t="s">
        <v>542</v>
      </c>
      <c r="B216" s="4" t="s">
        <v>83</v>
      </c>
      <c r="C216" s="4" t="s">
        <v>27</v>
      </c>
      <c r="D216" s="4" t="s">
        <v>20</v>
      </c>
      <c r="E216" s="4">
        <v>38</v>
      </c>
      <c r="F216" s="4" t="s">
        <v>543</v>
      </c>
      <c r="G216" s="4" t="s">
        <v>544</v>
      </c>
      <c r="H216" s="4">
        <v>52467</v>
      </c>
      <c r="I216" s="4" t="s">
        <v>16</v>
      </c>
      <c r="J216" s="4">
        <v>2</v>
      </c>
      <c r="K216" s="4">
        <f t="shared" si="6"/>
        <v>2.6630136986301371</v>
      </c>
      <c r="L216" s="4" t="str" cm="1">
        <f t="array" ref="L216">_xlfn.IFS(E216&gt;=40,"Senior",E216&gt;=30,"Menior",E216&lt;30,"Fresher")</f>
        <v>Menior</v>
      </c>
      <c r="M216" s="4" t="str" cm="1">
        <f t="array" ref="M216">_xlfn.IFS(J216&gt;4,"High rating",J216&gt;=3,"Medium rating",J216&lt;3,"Low rating")</f>
        <v>Low rating</v>
      </c>
      <c r="N216" s="4" t="str">
        <f t="shared" si="7"/>
        <v>no</v>
      </c>
      <c r="O216">
        <v>2020</v>
      </c>
    </row>
    <row r="217" spans="1:15" x14ac:dyDescent="0.25">
      <c r="A217" s="4" t="s">
        <v>545</v>
      </c>
      <c r="B217" s="4" t="s">
        <v>83</v>
      </c>
      <c r="C217" s="4" t="s">
        <v>19</v>
      </c>
      <c r="D217" s="4" t="s">
        <v>20</v>
      </c>
      <c r="E217" s="4">
        <v>26</v>
      </c>
      <c r="F217" s="4" t="s">
        <v>546</v>
      </c>
      <c r="G217" s="4"/>
      <c r="H217" s="4">
        <v>35440</v>
      </c>
      <c r="I217" s="4" t="s">
        <v>22</v>
      </c>
      <c r="J217" s="4">
        <v>5</v>
      </c>
      <c r="K217" s="4"/>
      <c r="L217" s="4" t="str" cm="1">
        <f t="array" ref="L217">_xlfn.IFS(E217&gt;=40,"Senior",E217&gt;=30,"Menior",E217&lt;30,"Fresher")</f>
        <v>Fresher</v>
      </c>
      <c r="M217" s="4" t="str" cm="1">
        <f t="array" ref="M217">_xlfn.IFS(J217&gt;4,"High rating",J217&gt;=3,"Medium rating",J217&lt;3,"Low rating")</f>
        <v>High rating</v>
      </c>
      <c r="N217" s="4"/>
      <c r="O217">
        <v>2021</v>
      </c>
    </row>
    <row r="218" spans="1:15" x14ac:dyDescent="0.25">
      <c r="A218" s="4" t="s">
        <v>547</v>
      </c>
      <c r="B218" s="4" t="s">
        <v>83</v>
      </c>
      <c r="C218" s="4" t="s">
        <v>24</v>
      </c>
      <c r="D218" s="4" t="s">
        <v>13</v>
      </c>
      <c r="E218" s="4">
        <v>32</v>
      </c>
      <c r="F218" s="4" t="s">
        <v>462</v>
      </c>
      <c r="G218" s="4" t="s">
        <v>548</v>
      </c>
      <c r="H218" s="4">
        <v>33210</v>
      </c>
      <c r="I218" s="4" t="s">
        <v>16</v>
      </c>
      <c r="J218" s="4">
        <v>2</v>
      </c>
      <c r="K218" s="4">
        <f t="shared" si="6"/>
        <v>1.2493150684931507</v>
      </c>
      <c r="L218" s="4" t="str" cm="1">
        <f t="array" ref="L218">_xlfn.IFS(E218&gt;=40,"Senior",E218&gt;=30,"Menior",E218&lt;30,"Fresher")</f>
        <v>Menior</v>
      </c>
      <c r="M218" s="4" t="str" cm="1">
        <f t="array" ref="M218">_xlfn.IFS(J218&gt;4,"High rating",J218&gt;=3,"Medium rating",J218&lt;3,"Low rating")</f>
        <v>Low rating</v>
      </c>
      <c r="N218" s="4" t="str">
        <f t="shared" si="7"/>
        <v>yes</v>
      </c>
      <c r="O218">
        <v>2020</v>
      </c>
    </row>
    <row r="219" spans="1:15" x14ac:dyDescent="0.25">
      <c r="A219" s="4" t="s">
        <v>549</v>
      </c>
      <c r="B219" s="4" t="s">
        <v>44</v>
      </c>
      <c r="C219" s="4" t="s">
        <v>12</v>
      </c>
      <c r="D219" s="4" t="s">
        <v>13</v>
      </c>
      <c r="E219" s="4">
        <v>32</v>
      </c>
      <c r="F219" s="4" t="s">
        <v>550</v>
      </c>
      <c r="G219" s="4" t="s">
        <v>551</v>
      </c>
      <c r="H219" s="4">
        <v>88016</v>
      </c>
      <c r="I219" s="4" t="s">
        <v>16</v>
      </c>
      <c r="J219" s="4">
        <v>4</v>
      </c>
      <c r="K219" s="4">
        <f t="shared" si="6"/>
        <v>3.6383561643835618</v>
      </c>
      <c r="L219" s="4" t="str" cm="1">
        <f t="array" ref="L219">_xlfn.IFS(E219&gt;=40,"Senior",E219&gt;=30,"Menior",E219&lt;30,"Fresher")</f>
        <v>Menior</v>
      </c>
      <c r="M219" s="4" t="str" cm="1">
        <f t="array" ref="M219">_xlfn.IFS(J219&gt;4,"High rating",J219&gt;=3,"Medium rating",J219&lt;3,"Low rating")</f>
        <v>Medium rating</v>
      </c>
      <c r="N219" s="4" t="str">
        <f t="shared" si="7"/>
        <v>no</v>
      </c>
      <c r="O219">
        <v>2021</v>
      </c>
    </row>
    <row r="220" spans="1:15" x14ac:dyDescent="0.25">
      <c r="A220" s="4" t="s">
        <v>552</v>
      </c>
      <c r="B220" s="4" t="s">
        <v>33</v>
      </c>
      <c r="C220" s="4" t="s">
        <v>34</v>
      </c>
      <c r="D220" s="4" t="s">
        <v>13</v>
      </c>
      <c r="E220" s="4">
        <v>47</v>
      </c>
      <c r="F220" s="4" t="s">
        <v>553</v>
      </c>
      <c r="G220" s="4"/>
      <c r="H220" s="4">
        <v>37522</v>
      </c>
      <c r="I220" s="4" t="s">
        <v>22</v>
      </c>
      <c r="J220" s="4">
        <v>4</v>
      </c>
      <c r="K220" s="4"/>
      <c r="L220" s="4" t="str" cm="1">
        <f t="array" ref="L220">_xlfn.IFS(E220&gt;=40,"Senior",E220&gt;=30,"Menior",E220&lt;30,"Fresher")</f>
        <v>Senior</v>
      </c>
      <c r="M220" s="4" t="str" cm="1">
        <f t="array" ref="M220">_xlfn.IFS(J220&gt;4,"High rating",J220&gt;=3,"Medium rating",J220&lt;3,"Low rating")</f>
        <v>Medium rating</v>
      </c>
      <c r="N220" s="4"/>
      <c r="O220">
        <v>2020</v>
      </c>
    </row>
    <row r="221" spans="1:15" x14ac:dyDescent="0.25">
      <c r="A221" s="4" t="s">
        <v>554</v>
      </c>
      <c r="B221" s="4" t="s">
        <v>37</v>
      </c>
      <c r="C221" s="4" t="s">
        <v>24</v>
      </c>
      <c r="D221" s="4" t="s">
        <v>20</v>
      </c>
      <c r="E221" s="4">
        <v>38</v>
      </c>
      <c r="F221" s="4" t="s">
        <v>555</v>
      </c>
      <c r="G221" s="4"/>
      <c r="H221" s="4">
        <v>47782</v>
      </c>
      <c r="I221" s="4" t="s">
        <v>22</v>
      </c>
      <c r="J221" s="4">
        <v>1</v>
      </c>
      <c r="K221" s="4"/>
      <c r="L221" s="4" t="str" cm="1">
        <f t="array" ref="L221">_xlfn.IFS(E221&gt;=40,"Senior",E221&gt;=30,"Menior",E221&lt;30,"Fresher")</f>
        <v>Menior</v>
      </c>
      <c r="M221" s="4" t="str" cm="1">
        <f t="array" ref="M221">_xlfn.IFS(J221&gt;4,"High rating",J221&gt;=3,"Medium rating",J221&lt;3,"Low rating")</f>
        <v>Low rating</v>
      </c>
      <c r="N221" s="4"/>
      <c r="O221">
        <v>2015</v>
      </c>
    </row>
    <row r="222" spans="1:15" x14ac:dyDescent="0.25">
      <c r="A222" s="4" t="s">
        <v>556</v>
      </c>
      <c r="B222" s="4" t="s">
        <v>58</v>
      </c>
      <c r="C222" s="4" t="s">
        <v>34</v>
      </c>
      <c r="D222" s="4" t="s">
        <v>20</v>
      </c>
      <c r="E222" s="4">
        <v>31</v>
      </c>
      <c r="F222" s="4" t="s">
        <v>557</v>
      </c>
      <c r="G222" s="4" t="s">
        <v>558</v>
      </c>
      <c r="H222" s="4">
        <v>99327</v>
      </c>
      <c r="I222" s="4" t="s">
        <v>16</v>
      </c>
      <c r="J222" s="4">
        <v>1</v>
      </c>
      <c r="K222" s="4">
        <f t="shared" si="6"/>
        <v>2.4273972602739726</v>
      </c>
      <c r="L222" s="4" t="str" cm="1">
        <f t="array" ref="L222">_xlfn.IFS(E222&gt;=40,"Senior",E222&gt;=30,"Menior",E222&lt;30,"Fresher")</f>
        <v>Menior</v>
      </c>
      <c r="M222" s="4" t="str" cm="1">
        <f t="array" ref="M222">_xlfn.IFS(J222&gt;4,"High rating",J222&gt;=3,"Medium rating",J222&lt;3,"Low rating")</f>
        <v>Low rating</v>
      </c>
      <c r="N222" s="4" t="str">
        <f t="shared" si="7"/>
        <v>no</v>
      </c>
      <c r="O222">
        <v>2021</v>
      </c>
    </row>
    <row r="223" spans="1:15" x14ac:dyDescent="0.25">
      <c r="A223" s="4" t="s">
        <v>559</v>
      </c>
      <c r="B223" s="4" t="s">
        <v>40</v>
      </c>
      <c r="C223" s="4" t="s">
        <v>34</v>
      </c>
      <c r="D223" s="4" t="s">
        <v>20</v>
      </c>
      <c r="E223" s="4">
        <v>26</v>
      </c>
      <c r="F223" s="4" t="s">
        <v>560</v>
      </c>
      <c r="G223" s="4" t="s">
        <v>561</v>
      </c>
      <c r="H223" s="4">
        <v>49954</v>
      </c>
      <c r="I223" s="4" t="s">
        <v>16</v>
      </c>
      <c r="J223" s="4">
        <v>4</v>
      </c>
      <c r="K223" s="4">
        <f t="shared" si="6"/>
        <v>1.8</v>
      </c>
      <c r="L223" s="4" t="str" cm="1">
        <f t="array" ref="L223">_xlfn.IFS(E223&gt;=40,"Senior",E223&gt;=30,"Menior",E223&lt;30,"Fresher")</f>
        <v>Fresher</v>
      </c>
      <c r="M223" s="4" t="str" cm="1">
        <f t="array" ref="M223">_xlfn.IFS(J223&gt;4,"High rating",J223&gt;=3,"Medium rating",J223&lt;3,"Low rating")</f>
        <v>Medium rating</v>
      </c>
      <c r="N223" s="4" t="str">
        <f t="shared" si="7"/>
        <v>yes</v>
      </c>
      <c r="O223">
        <v>2020</v>
      </c>
    </row>
    <row r="224" spans="1:15" x14ac:dyDescent="0.25">
      <c r="A224" s="4" t="s">
        <v>562</v>
      </c>
      <c r="B224" s="4" t="s">
        <v>11</v>
      </c>
      <c r="C224" s="4" t="s">
        <v>19</v>
      </c>
      <c r="D224" s="4" t="s">
        <v>13</v>
      </c>
      <c r="E224" s="4">
        <v>35</v>
      </c>
      <c r="F224" s="4" t="s">
        <v>563</v>
      </c>
      <c r="G224" s="4"/>
      <c r="H224" s="4">
        <v>101559</v>
      </c>
      <c r="I224" s="4" t="s">
        <v>22</v>
      </c>
      <c r="J224" s="4">
        <v>1</v>
      </c>
      <c r="K224" s="4"/>
      <c r="L224" s="4" t="str" cm="1">
        <f t="array" ref="L224">_xlfn.IFS(E224&gt;=40,"Senior",E224&gt;=30,"Menior",E224&lt;30,"Fresher")</f>
        <v>Menior</v>
      </c>
      <c r="M224" s="4" t="str" cm="1">
        <f t="array" ref="M224">_xlfn.IFS(J224&gt;4,"High rating",J224&gt;=3,"Medium rating",J224&lt;3,"Low rating")</f>
        <v>Low rating</v>
      </c>
      <c r="N224" s="4"/>
      <c r="O224">
        <v>2017</v>
      </c>
    </row>
    <row r="225" spans="1:15" x14ac:dyDescent="0.25">
      <c r="A225" s="4" t="s">
        <v>564</v>
      </c>
      <c r="B225" s="4" t="s">
        <v>18</v>
      </c>
      <c r="C225" s="4" t="s">
        <v>34</v>
      </c>
      <c r="D225" s="4" t="s">
        <v>20</v>
      </c>
      <c r="E225" s="4">
        <v>30</v>
      </c>
      <c r="F225" s="4" t="s">
        <v>565</v>
      </c>
      <c r="G225" s="4"/>
      <c r="H225" s="4">
        <v>42688</v>
      </c>
      <c r="I225" s="4" t="s">
        <v>22</v>
      </c>
      <c r="J225" s="4">
        <v>2</v>
      </c>
      <c r="K225" s="4"/>
      <c r="L225" s="4" t="str" cm="1">
        <f t="array" ref="L225">_xlfn.IFS(E225&gt;=40,"Senior",E225&gt;=30,"Menior",E225&lt;30,"Fresher")</f>
        <v>Menior</v>
      </c>
      <c r="M225" s="4" t="str" cm="1">
        <f t="array" ref="M225">_xlfn.IFS(J225&gt;4,"High rating",J225&gt;=3,"Medium rating",J225&lt;3,"Low rating")</f>
        <v>Low rating</v>
      </c>
      <c r="N225" s="4"/>
      <c r="O225">
        <v>2015</v>
      </c>
    </row>
    <row r="226" spans="1:15" x14ac:dyDescent="0.25">
      <c r="A226" s="4" t="s">
        <v>566</v>
      </c>
      <c r="B226" s="4" t="s">
        <v>40</v>
      </c>
      <c r="C226" s="4" t="s">
        <v>12</v>
      </c>
      <c r="D226" s="4" t="s">
        <v>20</v>
      </c>
      <c r="E226" s="4">
        <v>48</v>
      </c>
      <c r="F226" s="4" t="s">
        <v>567</v>
      </c>
      <c r="G226" s="4" t="s">
        <v>568</v>
      </c>
      <c r="H226" s="4">
        <v>56707</v>
      </c>
      <c r="I226" s="4" t="s">
        <v>16</v>
      </c>
      <c r="J226" s="4">
        <v>5</v>
      </c>
      <c r="K226" s="4">
        <f t="shared" si="6"/>
        <v>2.5342465753424657</v>
      </c>
      <c r="L226" s="4" t="str" cm="1">
        <f t="array" ref="L226">_xlfn.IFS(E226&gt;=40,"Senior",E226&gt;=30,"Menior",E226&lt;30,"Fresher")</f>
        <v>Senior</v>
      </c>
      <c r="M226" s="4" t="str" cm="1">
        <f t="array" ref="M226">_xlfn.IFS(J226&gt;4,"High rating",J226&gt;=3,"Medium rating",J226&lt;3,"Low rating")</f>
        <v>High rating</v>
      </c>
      <c r="N226" s="4" t="str">
        <f t="shared" si="7"/>
        <v>no</v>
      </c>
      <c r="O226">
        <v>2016</v>
      </c>
    </row>
    <row r="227" spans="1:15" x14ac:dyDescent="0.25">
      <c r="A227" s="4" t="s">
        <v>569</v>
      </c>
      <c r="B227" s="4" t="s">
        <v>11</v>
      </c>
      <c r="C227" s="4" t="s">
        <v>19</v>
      </c>
      <c r="D227" s="4" t="s">
        <v>20</v>
      </c>
      <c r="E227" s="4">
        <v>25</v>
      </c>
      <c r="F227" s="4" t="s">
        <v>570</v>
      </c>
      <c r="G227" s="4" t="s">
        <v>571</v>
      </c>
      <c r="H227" s="4">
        <v>112225</v>
      </c>
      <c r="I227" s="4" t="s">
        <v>16</v>
      </c>
      <c r="J227" s="4">
        <v>3</v>
      </c>
      <c r="K227" s="4">
        <f t="shared" si="6"/>
        <v>1.5068493150684932</v>
      </c>
      <c r="L227" s="4" t="str" cm="1">
        <f t="array" ref="L227">_xlfn.IFS(E227&gt;=40,"Senior",E227&gt;=30,"Menior",E227&lt;30,"Fresher")</f>
        <v>Fresher</v>
      </c>
      <c r="M227" s="4" t="str" cm="1">
        <f t="array" ref="M227">_xlfn.IFS(J227&gt;4,"High rating",J227&gt;=3,"Medium rating",J227&lt;3,"Low rating")</f>
        <v>Medium rating</v>
      </c>
      <c r="N227" s="4" t="str">
        <f t="shared" si="7"/>
        <v>yes</v>
      </c>
      <c r="O227">
        <v>2018</v>
      </c>
    </row>
    <row r="228" spans="1:15" x14ac:dyDescent="0.25">
      <c r="A228" s="4" t="s">
        <v>572</v>
      </c>
      <c r="B228" s="4" t="s">
        <v>58</v>
      </c>
      <c r="C228" s="4" t="s">
        <v>34</v>
      </c>
      <c r="D228" s="4" t="s">
        <v>20</v>
      </c>
      <c r="E228" s="4">
        <v>29</v>
      </c>
      <c r="F228" s="4" t="s">
        <v>573</v>
      </c>
      <c r="G228" s="4" t="s">
        <v>574</v>
      </c>
      <c r="H228" s="4">
        <v>25421</v>
      </c>
      <c r="I228" s="4" t="s">
        <v>16</v>
      </c>
      <c r="J228" s="4">
        <v>2</v>
      </c>
      <c r="K228" s="4">
        <f t="shared" si="6"/>
        <v>0.50136986301369868</v>
      </c>
      <c r="L228" s="4" t="str" cm="1">
        <f t="array" ref="L228">_xlfn.IFS(E228&gt;=40,"Senior",E228&gt;=30,"Menior",E228&lt;30,"Fresher")</f>
        <v>Fresher</v>
      </c>
      <c r="M228" s="4" t="str" cm="1">
        <f t="array" ref="M228">_xlfn.IFS(J228&gt;4,"High rating",J228&gt;=3,"Medium rating",J228&lt;3,"Low rating")</f>
        <v>Low rating</v>
      </c>
      <c r="N228" s="4" t="str">
        <f t="shared" si="7"/>
        <v>yes</v>
      </c>
      <c r="O228">
        <v>2022</v>
      </c>
    </row>
    <row r="229" spans="1:15" x14ac:dyDescent="0.25">
      <c r="A229" s="4" t="s">
        <v>575</v>
      </c>
      <c r="B229" s="4" t="s">
        <v>58</v>
      </c>
      <c r="C229" s="4" t="s">
        <v>34</v>
      </c>
      <c r="D229" s="4" t="s">
        <v>20</v>
      </c>
      <c r="E229" s="4">
        <v>33</v>
      </c>
      <c r="F229" s="4" t="s">
        <v>576</v>
      </c>
      <c r="G229" s="4"/>
      <c r="H229" s="4">
        <v>26687</v>
      </c>
      <c r="I229" s="4" t="s">
        <v>22</v>
      </c>
      <c r="J229" s="4">
        <v>4</v>
      </c>
      <c r="K229" s="4"/>
      <c r="L229" s="4" t="str" cm="1">
        <f t="array" ref="L229">_xlfn.IFS(E229&gt;=40,"Senior",E229&gt;=30,"Menior",E229&lt;30,"Fresher")</f>
        <v>Menior</v>
      </c>
      <c r="M229" s="4" t="str" cm="1">
        <f t="array" ref="M229">_xlfn.IFS(J229&gt;4,"High rating",J229&gt;=3,"Medium rating",J229&lt;3,"Low rating")</f>
        <v>Medium rating</v>
      </c>
      <c r="N229" s="4"/>
      <c r="O229">
        <v>2023</v>
      </c>
    </row>
    <row r="230" spans="1:15" x14ac:dyDescent="0.25">
      <c r="A230" s="4" t="s">
        <v>577</v>
      </c>
      <c r="B230" s="4" t="s">
        <v>11</v>
      </c>
      <c r="C230" s="4" t="s">
        <v>24</v>
      </c>
      <c r="D230" s="4" t="s">
        <v>13</v>
      </c>
      <c r="E230" s="4">
        <v>29</v>
      </c>
      <c r="F230" s="4" t="s">
        <v>578</v>
      </c>
      <c r="G230" s="4"/>
      <c r="H230" s="4">
        <v>56668</v>
      </c>
      <c r="I230" s="4" t="s">
        <v>22</v>
      </c>
      <c r="J230" s="4">
        <v>3</v>
      </c>
      <c r="K230" s="4"/>
      <c r="L230" s="4" t="str" cm="1">
        <f t="array" ref="L230">_xlfn.IFS(E230&gt;=40,"Senior",E230&gt;=30,"Menior",E230&lt;30,"Fresher")</f>
        <v>Fresher</v>
      </c>
      <c r="M230" s="4" t="str" cm="1">
        <f t="array" ref="M230">_xlfn.IFS(J230&gt;4,"High rating",J230&gt;=3,"Medium rating",J230&lt;3,"Low rating")</f>
        <v>Medium rating</v>
      </c>
      <c r="N230" s="4"/>
      <c r="O230">
        <v>2021</v>
      </c>
    </row>
    <row r="231" spans="1:15" x14ac:dyDescent="0.25">
      <c r="A231" s="4" t="s">
        <v>579</v>
      </c>
      <c r="B231" s="4" t="s">
        <v>73</v>
      </c>
      <c r="C231" s="4" t="s">
        <v>24</v>
      </c>
      <c r="D231" s="4" t="s">
        <v>20</v>
      </c>
      <c r="E231" s="4">
        <v>46</v>
      </c>
      <c r="F231" s="4" t="s">
        <v>407</v>
      </c>
      <c r="G231" s="4"/>
      <c r="H231" s="4">
        <v>37127</v>
      </c>
      <c r="I231" s="4" t="s">
        <v>22</v>
      </c>
      <c r="J231" s="4">
        <v>4</v>
      </c>
      <c r="K231" s="4"/>
      <c r="L231" s="4" t="str" cm="1">
        <f t="array" ref="L231">_xlfn.IFS(E231&gt;=40,"Senior",E231&gt;=30,"Menior",E231&lt;30,"Fresher")</f>
        <v>Senior</v>
      </c>
      <c r="M231" s="4" t="str" cm="1">
        <f t="array" ref="M231">_xlfn.IFS(J231&gt;4,"High rating",J231&gt;=3,"Medium rating",J231&lt;3,"Low rating")</f>
        <v>Medium rating</v>
      </c>
      <c r="N231" s="4"/>
      <c r="O231">
        <v>2019</v>
      </c>
    </row>
    <row r="232" spans="1:15" x14ac:dyDescent="0.25">
      <c r="A232" s="4" t="s">
        <v>580</v>
      </c>
      <c r="B232" s="4" t="s">
        <v>11</v>
      </c>
      <c r="C232" s="4" t="s">
        <v>34</v>
      </c>
      <c r="D232" s="4" t="s">
        <v>20</v>
      </c>
      <c r="E232" s="4">
        <v>24</v>
      </c>
      <c r="F232" s="4" t="s">
        <v>581</v>
      </c>
      <c r="G232" s="4" t="s">
        <v>582</v>
      </c>
      <c r="H232" s="4">
        <v>101801</v>
      </c>
      <c r="I232" s="4" t="s">
        <v>16</v>
      </c>
      <c r="J232" s="4">
        <v>5</v>
      </c>
      <c r="K232" s="4">
        <f t="shared" si="6"/>
        <v>3.1232876712328768</v>
      </c>
      <c r="L232" s="4" t="str" cm="1">
        <f t="array" ref="L232">_xlfn.IFS(E232&gt;=40,"Senior",E232&gt;=30,"Menior",E232&lt;30,"Fresher")</f>
        <v>Fresher</v>
      </c>
      <c r="M232" s="4" t="str" cm="1">
        <f t="array" ref="M232">_xlfn.IFS(J232&gt;4,"High rating",J232&gt;=3,"Medium rating",J232&lt;3,"Low rating")</f>
        <v>High rating</v>
      </c>
      <c r="N232" s="4" t="str">
        <f t="shared" si="7"/>
        <v>no</v>
      </c>
      <c r="O232">
        <v>2018</v>
      </c>
    </row>
    <row r="233" spans="1:15" x14ac:dyDescent="0.25">
      <c r="A233" s="4" t="s">
        <v>583</v>
      </c>
      <c r="B233" s="4" t="s">
        <v>37</v>
      </c>
      <c r="C233" s="4" t="s">
        <v>34</v>
      </c>
      <c r="D233" s="4" t="s">
        <v>13</v>
      </c>
      <c r="E233" s="4">
        <v>26</v>
      </c>
      <c r="F233" s="4" t="s">
        <v>519</v>
      </c>
      <c r="G233" s="4" t="s">
        <v>584</v>
      </c>
      <c r="H233" s="4">
        <v>78924</v>
      </c>
      <c r="I233" s="4" t="s">
        <v>16</v>
      </c>
      <c r="J233" s="4">
        <v>2</v>
      </c>
      <c r="K233" s="4">
        <f t="shared" si="6"/>
        <v>3.8136986301369862</v>
      </c>
      <c r="L233" s="4" t="str" cm="1">
        <f t="array" ref="L233">_xlfn.IFS(E233&gt;=40,"Senior",E233&gt;=30,"Menior",E233&lt;30,"Fresher")</f>
        <v>Fresher</v>
      </c>
      <c r="M233" s="4" t="str" cm="1">
        <f t="array" ref="M233">_xlfn.IFS(J233&gt;4,"High rating",J233&gt;=3,"Medium rating",J233&lt;3,"Low rating")</f>
        <v>Low rating</v>
      </c>
      <c r="N233" s="4" t="str">
        <f t="shared" si="7"/>
        <v>no</v>
      </c>
      <c r="O233">
        <v>2020</v>
      </c>
    </row>
    <row r="234" spans="1:15" x14ac:dyDescent="0.25">
      <c r="A234" s="4" t="s">
        <v>585</v>
      </c>
      <c r="B234" s="4" t="s">
        <v>11</v>
      </c>
      <c r="C234" s="4" t="s">
        <v>12</v>
      </c>
      <c r="D234" s="4" t="s">
        <v>20</v>
      </c>
      <c r="E234" s="4">
        <v>33</v>
      </c>
      <c r="F234" s="4" t="s">
        <v>586</v>
      </c>
      <c r="G234" s="4" t="s">
        <v>587</v>
      </c>
      <c r="H234" s="4">
        <v>107162</v>
      </c>
      <c r="I234" s="4" t="s">
        <v>16</v>
      </c>
      <c r="J234" s="4">
        <v>2</v>
      </c>
      <c r="K234" s="4">
        <f t="shared" si="6"/>
        <v>1.0027397260273974</v>
      </c>
      <c r="L234" s="4" t="str" cm="1">
        <f t="array" ref="L234">_xlfn.IFS(E234&gt;=40,"Senior",E234&gt;=30,"Menior",E234&lt;30,"Fresher")</f>
        <v>Menior</v>
      </c>
      <c r="M234" s="4" t="str" cm="1">
        <f t="array" ref="M234">_xlfn.IFS(J234&gt;4,"High rating",J234&gt;=3,"Medium rating",J234&lt;3,"Low rating")</f>
        <v>Low rating</v>
      </c>
      <c r="N234" s="4" t="str">
        <f t="shared" si="7"/>
        <v>yes</v>
      </c>
      <c r="O234">
        <v>2015</v>
      </c>
    </row>
    <row r="235" spans="1:15" x14ac:dyDescent="0.25">
      <c r="A235" s="4" t="s">
        <v>588</v>
      </c>
      <c r="B235" s="4" t="s">
        <v>37</v>
      </c>
      <c r="C235" s="4" t="s">
        <v>27</v>
      </c>
      <c r="D235" s="4" t="s">
        <v>13</v>
      </c>
      <c r="E235" s="4">
        <v>27</v>
      </c>
      <c r="F235" s="4" t="s">
        <v>589</v>
      </c>
      <c r="G235" s="4" t="s">
        <v>590</v>
      </c>
      <c r="H235" s="4">
        <v>108034</v>
      </c>
      <c r="I235" s="4" t="s">
        <v>16</v>
      </c>
      <c r="J235" s="4">
        <v>1</v>
      </c>
      <c r="K235" s="4">
        <f t="shared" si="6"/>
        <v>1.7972602739726027</v>
      </c>
      <c r="L235" s="4" t="str" cm="1">
        <f t="array" ref="L235">_xlfn.IFS(E235&gt;=40,"Senior",E235&gt;=30,"Menior",E235&lt;30,"Fresher")</f>
        <v>Fresher</v>
      </c>
      <c r="M235" s="4" t="str" cm="1">
        <f t="array" ref="M235">_xlfn.IFS(J235&gt;4,"High rating",J235&gt;=3,"Medium rating",J235&lt;3,"Low rating")</f>
        <v>Low rating</v>
      </c>
      <c r="N235" s="4" t="str">
        <f t="shared" si="7"/>
        <v>yes</v>
      </c>
      <c r="O235">
        <v>2016</v>
      </c>
    </row>
    <row r="236" spans="1:15" x14ac:dyDescent="0.25">
      <c r="A236" s="4" t="s">
        <v>591</v>
      </c>
      <c r="B236" s="4" t="s">
        <v>73</v>
      </c>
      <c r="C236" s="4" t="s">
        <v>27</v>
      </c>
      <c r="D236" s="4" t="s">
        <v>13</v>
      </c>
      <c r="E236" s="4">
        <v>50</v>
      </c>
      <c r="F236" s="4" t="s">
        <v>592</v>
      </c>
      <c r="G236" s="4"/>
      <c r="H236" s="4">
        <v>71857</v>
      </c>
      <c r="I236" s="4" t="s">
        <v>22</v>
      </c>
      <c r="J236" s="4">
        <v>4</v>
      </c>
      <c r="K236" s="4"/>
      <c r="L236" s="4" t="str" cm="1">
        <f t="array" ref="L236">_xlfn.IFS(E236&gt;=40,"Senior",E236&gt;=30,"Menior",E236&lt;30,"Fresher")</f>
        <v>Senior</v>
      </c>
      <c r="M236" s="4" t="str" cm="1">
        <f t="array" ref="M236">_xlfn.IFS(J236&gt;4,"High rating",J236&gt;=3,"Medium rating",J236&lt;3,"Low rating")</f>
        <v>Medium rating</v>
      </c>
      <c r="N236" s="4"/>
      <c r="O236">
        <v>2016</v>
      </c>
    </row>
    <row r="237" spans="1:15" x14ac:dyDescent="0.25">
      <c r="A237" s="4" t="s">
        <v>593</v>
      </c>
      <c r="B237" s="4" t="s">
        <v>44</v>
      </c>
      <c r="C237" s="4" t="s">
        <v>27</v>
      </c>
      <c r="D237" s="4" t="s">
        <v>13</v>
      </c>
      <c r="E237" s="4">
        <v>30</v>
      </c>
      <c r="F237" s="4" t="s">
        <v>594</v>
      </c>
      <c r="G237" s="4" t="s">
        <v>595</v>
      </c>
      <c r="H237" s="4">
        <v>26415</v>
      </c>
      <c r="I237" s="4" t="s">
        <v>16</v>
      </c>
      <c r="J237" s="4">
        <v>4</v>
      </c>
      <c r="K237" s="4">
        <f t="shared" si="6"/>
        <v>4.0602739726027401</v>
      </c>
      <c r="L237" s="4" t="str" cm="1">
        <f t="array" ref="L237">_xlfn.IFS(E237&gt;=40,"Senior",E237&gt;=30,"Menior",E237&lt;30,"Fresher")</f>
        <v>Menior</v>
      </c>
      <c r="M237" s="4" t="str" cm="1">
        <f t="array" ref="M237">_xlfn.IFS(J237&gt;4,"High rating",J237&gt;=3,"Medium rating",J237&lt;3,"Low rating")</f>
        <v>Medium rating</v>
      </c>
      <c r="N237" s="4" t="str">
        <f t="shared" si="7"/>
        <v>no</v>
      </c>
      <c r="O237">
        <v>2022</v>
      </c>
    </row>
    <row r="238" spans="1:15" x14ac:dyDescent="0.25">
      <c r="A238" s="4" t="s">
        <v>596</v>
      </c>
      <c r="B238" s="4" t="s">
        <v>58</v>
      </c>
      <c r="C238" s="4" t="s">
        <v>19</v>
      </c>
      <c r="D238" s="4" t="s">
        <v>20</v>
      </c>
      <c r="E238" s="4">
        <v>38</v>
      </c>
      <c r="F238" s="4" t="s">
        <v>597</v>
      </c>
      <c r="G238" s="4" t="s">
        <v>598</v>
      </c>
      <c r="H238" s="4">
        <v>114608</v>
      </c>
      <c r="I238" s="4" t="s">
        <v>16</v>
      </c>
      <c r="J238" s="4">
        <v>5</v>
      </c>
      <c r="K238" s="4">
        <f t="shared" si="6"/>
        <v>3.452054794520548</v>
      </c>
      <c r="L238" s="4" t="str" cm="1">
        <f t="array" ref="L238">_xlfn.IFS(E238&gt;=40,"Senior",E238&gt;=30,"Menior",E238&lt;30,"Fresher")</f>
        <v>Menior</v>
      </c>
      <c r="M238" s="4" t="str" cm="1">
        <f t="array" ref="M238">_xlfn.IFS(J238&gt;4,"High rating",J238&gt;=3,"Medium rating",J238&lt;3,"Low rating")</f>
        <v>High rating</v>
      </c>
      <c r="N238" s="4" t="str">
        <f t="shared" si="7"/>
        <v>no</v>
      </c>
      <c r="O238">
        <v>2015</v>
      </c>
    </row>
    <row r="239" spans="1:15" x14ac:dyDescent="0.25">
      <c r="A239" s="4" t="s">
        <v>599</v>
      </c>
      <c r="B239" s="4" t="s">
        <v>83</v>
      </c>
      <c r="C239" s="4" t="s">
        <v>27</v>
      </c>
      <c r="D239" s="4" t="s">
        <v>20</v>
      </c>
      <c r="E239" s="4">
        <v>35</v>
      </c>
      <c r="F239" s="4" t="s">
        <v>191</v>
      </c>
      <c r="G239" s="4" t="s">
        <v>600</v>
      </c>
      <c r="H239" s="4">
        <v>115200</v>
      </c>
      <c r="I239" s="4" t="s">
        <v>16</v>
      </c>
      <c r="J239" s="4">
        <v>5</v>
      </c>
      <c r="K239" s="4">
        <f t="shared" si="6"/>
        <v>1.6082191780821917</v>
      </c>
      <c r="L239" s="4" t="str" cm="1">
        <f t="array" ref="L239">_xlfn.IFS(E239&gt;=40,"Senior",E239&gt;=30,"Menior",E239&lt;30,"Fresher")</f>
        <v>Menior</v>
      </c>
      <c r="M239" s="4" t="str" cm="1">
        <f t="array" ref="M239">_xlfn.IFS(J239&gt;4,"High rating",J239&gt;=3,"Medium rating",J239&lt;3,"Low rating")</f>
        <v>High rating</v>
      </c>
      <c r="N239" s="4" t="str">
        <f t="shared" si="7"/>
        <v>yes</v>
      </c>
      <c r="O239">
        <v>2017</v>
      </c>
    </row>
    <row r="240" spans="1:15" x14ac:dyDescent="0.25">
      <c r="A240" s="4" t="s">
        <v>601</v>
      </c>
      <c r="B240" s="4" t="s">
        <v>40</v>
      </c>
      <c r="C240" s="4" t="s">
        <v>27</v>
      </c>
      <c r="D240" s="4" t="s">
        <v>13</v>
      </c>
      <c r="E240" s="4">
        <v>36</v>
      </c>
      <c r="F240" s="4" t="s">
        <v>602</v>
      </c>
      <c r="G240" s="4"/>
      <c r="H240" s="4">
        <v>86188</v>
      </c>
      <c r="I240" s="4" t="s">
        <v>22</v>
      </c>
      <c r="J240" s="4">
        <v>3</v>
      </c>
      <c r="K240" s="4"/>
      <c r="L240" s="4" t="str" cm="1">
        <f t="array" ref="L240">_xlfn.IFS(E240&gt;=40,"Senior",E240&gt;=30,"Menior",E240&lt;30,"Fresher")</f>
        <v>Menior</v>
      </c>
      <c r="M240" s="4" t="str" cm="1">
        <f t="array" ref="M240">_xlfn.IFS(J240&gt;4,"High rating",J240&gt;=3,"Medium rating",J240&lt;3,"Low rating")</f>
        <v>Medium rating</v>
      </c>
      <c r="N240" s="4"/>
      <c r="O240">
        <v>2019</v>
      </c>
    </row>
    <row r="241" spans="1:15" x14ac:dyDescent="0.25">
      <c r="A241" s="4" t="s">
        <v>603</v>
      </c>
      <c r="B241" s="4" t="s">
        <v>40</v>
      </c>
      <c r="C241" s="4" t="s">
        <v>24</v>
      </c>
      <c r="D241" s="4" t="s">
        <v>13</v>
      </c>
      <c r="E241" s="4">
        <v>36</v>
      </c>
      <c r="F241" s="4" t="s">
        <v>604</v>
      </c>
      <c r="G241" s="4"/>
      <c r="H241" s="4">
        <v>40351</v>
      </c>
      <c r="I241" s="4" t="s">
        <v>22</v>
      </c>
      <c r="J241" s="4">
        <v>4</v>
      </c>
      <c r="K241" s="4"/>
      <c r="L241" s="4" t="str" cm="1">
        <f t="array" ref="L241">_xlfn.IFS(E241&gt;=40,"Senior",E241&gt;=30,"Menior",E241&lt;30,"Fresher")</f>
        <v>Menior</v>
      </c>
      <c r="M241" s="4" t="str" cm="1">
        <f t="array" ref="M241">_xlfn.IFS(J241&gt;4,"High rating",J241&gt;=3,"Medium rating",J241&lt;3,"Low rating")</f>
        <v>Medium rating</v>
      </c>
      <c r="N241" s="4"/>
      <c r="O241">
        <v>2019</v>
      </c>
    </row>
    <row r="242" spans="1:15" x14ac:dyDescent="0.25">
      <c r="A242" s="4" t="s">
        <v>605</v>
      </c>
      <c r="B242" s="4" t="s">
        <v>11</v>
      </c>
      <c r="C242" s="4" t="s">
        <v>12</v>
      </c>
      <c r="D242" s="4" t="s">
        <v>20</v>
      </c>
      <c r="E242" s="4">
        <v>23</v>
      </c>
      <c r="F242" s="4" t="s">
        <v>606</v>
      </c>
      <c r="G242" s="4" t="s">
        <v>607</v>
      </c>
      <c r="H242" s="4">
        <v>80023</v>
      </c>
      <c r="I242" s="4" t="s">
        <v>16</v>
      </c>
      <c r="J242" s="4">
        <v>3</v>
      </c>
      <c r="K242" s="4">
        <f t="shared" si="6"/>
        <v>1.6109589041095891</v>
      </c>
      <c r="L242" s="4" t="str" cm="1">
        <f t="array" ref="L242">_xlfn.IFS(E242&gt;=40,"Senior",E242&gt;=30,"Menior",E242&lt;30,"Fresher")</f>
        <v>Fresher</v>
      </c>
      <c r="M242" s="4" t="str" cm="1">
        <f t="array" ref="M242">_xlfn.IFS(J242&gt;4,"High rating",J242&gt;=3,"Medium rating",J242&lt;3,"Low rating")</f>
        <v>Medium rating</v>
      </c>
      <c r="N242" s="4" t="str">
        <f t="shared" si="7"/>
        <v>yes</v>
      </c>
      <c r="O242">
        <v>2021</v>
      </c>
    </row>
    <row r="243" spans="1:15" x14ac:dyDescent="0.25">
      <c r="A243" s="4" t="s">
        <v>608</v>
      </c>
      <c r="B243" s="4" t="s">
        <v>37</v>
      </c>
      <c r="C243" s="4" t="s">
        <v>12</v>
      </c>
      <c r="D243" s="4" t="s">
        <v>13</v>
      </c>
      <c r="E243" s="4">
        <v>31</v>
      </c>
      <c r="F243" s="4" t="s">
        <v>609</v>
      </c>
      <c r="G243" s="4" t="s">
        <v>610</v>
      </c>
      <c r="H243" s="4">
        <v>53272</v>
      </c>
      <c r="I243" s="4" t="s">
        <v>16</v>
      </c>
      <c r="J243" s="4">
        <v>3</v>
      </c>
      <c r="K243" s="4">
        <f t="shared" si="6"/>
        <v>3.0191780821917806</v>
      </c>
      <c r="L243" s="4" t="str" cm="1">
        <f t="array" ref="L243">_xlfn.IFS(E243&gt;=40,"Senior",E243&gt;=30,"Menior",E243&lt;30,"Fresher")</f>
        <v>Menior</v>
      </c>
      <c r="M243" s="4" t="str" cm="1">
        <f t="array" ref="M243">_xlfn.IFS(J243&gt;4,"High rating",J243&gt;=3,"Medium rating",J243&lt;3,"Low rating")</f>
        <v>Medium rating</v>
      </c>
      <c r="N243" s="4" t="str">
        <f t="shared" si="7"/>
        <v>no</v>
      </c>
      <c r="O243">
        <v>2023</v>
      </c>
    </row>
    <row r="244" spans="1:15" x14ac:dyDescent="0.25">
      <c r="A244" s="4" t="s">
        <v>611</v>
      </c>
      <c r="B244" s="4" t="s">
        <v>40</v>
      </c>
      <c r="C244" s="4" t="s">
        <v>12</v>
      </c>
      <c r="D244" s="4" t="s">
        <v>13</v>
      </c>
      <c r="E244" s="4">
        <v>24</v>
      </c>
      <c r="F244" s="4" t="s">
        <v>612</v>
      </c>
      <c r="G244" s="4" t="s">
        <v>613</v>
      </c>
      <c r="H244" s="4">
        <v>54136</v>
      </c>
      <c r="I244" s="4" t="s">
        <v>16</v>
      </c>
      <c r="J244" s="4">
        <v>1</v>
      </c>
      <c r="K244" s="4">
        <f t="shared" si="6"/>
        <v>2.8767123287671232</v>
      </c>
      <c r="L244" s="4" t="str" cm="1">
        <f t="array" ref="L244">_xlfn.IFS(E244&gt;=40,"Senior",E244&gt;=30,"Menior",E244&lt;30,"Fresher")</f>
        <v>Fresher</v>
      </c>
      <c r="M244" s="4" t="str" cm="1">
        <f t="array" ref="M244">_xlfn.IFS(J244&gt;4,"High rating",J244&gt;=3,"Medium rating",J244&lt;3,"Low rating")</f>
        <v>Low rating</v>
      </c>
      <c r="N244" s="4" t="str">
        <f t="shared" si="7"/>
        <v>no</v>
      </c>
      <c r="O244">
        <v>2015</v>
      </c>
    </row>
    <row r="245" spans="1:15" x14ac:dyDescent="0.25">
      <c r="A245" s="4" t="s">
        <v>614</v>
      </c>
      <c r="B245" s="4" t="s">
        <v>11</v>
      </c>
      <c r="C245" s="4" t="s">
        <v>34</v>
      </c>
      <c r="D245" s="4" t="s">
        <v>13</v>
      </c>
      <c r="E245" s="4">
        <v>26</v>
      </c>
      <c r="F245" s="4" t="s">
        <v>615</v>
      </c>
      <c r="G245" s="4"/>
      <c r="H245" s="4">
        <v>119991</v>
      </c>
      <c r="I245" s="4" t="s">
        <v>22</v>
      </c>
      <c r="J245" s="4">
        <v>1</v>
      </c>
      <c r="K245" s="4"/>
      <c r="L245" s="4" t="str" cm="1">
        <f t="array" ref="L245">_xlfn.IFS(E245&gt;=40,"Senior",E245&gt;=30,"Menior",E245&lt;30,"Fresher")</f>
        <v>Fresher</v>
      </c>
      <c r="M245" s="4" t="str" cm="1">
        <f t="array" ref="M245">_xlfn.IFS(J245&gt;4,"High rating",J245&gt;=3,"Medium rating",J245&lt;3,"Low rating")</f>
        <v>Low rating</v>
      </c>
      <c r="N245" s="4"/>
      <c r="O245">
        <v>2017</v>
      </c>
    </row>
    <row r="246" spans="1:15" x14ac:dyDescent="0.25">
      <c r="A246" s="4" t="s">
        <v>616</v>
      </c>
      <c r="B246" s="4" t="s">
        <v>52</v>
      </c>
      <c r="C246" s="4" t="s">
        <v>19</v>
      </c>
      <c r="D246" s="4" t="s">
        <v>13</v>
      </c>
      <c r="E246" s="4">
        <v>38</v>
      </c>
      <c r="F246" s="4" t="s">
        <v>617</v>
      </c>
      <c r="G246" s="4"/>
      <c r="H246" s="4">
        <v>75543</v>
      </c>
      <c r="I246" s="4" t="s">
        <v>22</v>
      </c>
      <c r="J246" s="4">
        <v>3</v>
      </c>
      <c r="K246" s="4"/>
      <c r="L246" s="4" t="str" cm="1">
        <f t="array" ref="L246">_xlfn.IFS(E246&gt;=40,"Senior",E246&gt;=30,"Menior",E246&lt;30,"Fresher")</f>
        <v>Menior</v>
      </c>
      <c r="M246" s="4" t="str" cm="1">
        <f t="array" ref="M246">_xlfn.IFS(J246&gt;4,"High rating",J246&gt;=3,"Medium rating",J246&lt;3,"Low rating")</f>
        <v>Medium rating</v>
      </c>
      <c r="N246" s="4"/>
      <c r="O246">
        <v>2023</v>
      </c>
    </row>
    <row r="247" spans="1:15" x14ac:dyDescent="0.25">
      <c r="A247" s="4" t="s">
        <v>618</v>
      </c>
      <c r="B247" s="4" t="s">
        <v>52</v>
      </c>
      <c r="C247" s="4" t="s">
        <v>24</v>
      </c>
      <c r="D247" s="4" t="s">
        <v>13</v>
      </c>
      <c r="E247" s="4">
        <v>39</v>
      </c>
      <c r="F247" s="4" t="s">
        <v>619</v>
      </c>
      <c r="G247" s="4"/>
      <c r="H247" s="4">
        <v>43870</v>
      </c>
      <c r="I247" s="4" t="s">
        <v>22</v>
      </c>
      <c r="J247" s="4">
        <v>5</v>
      </c>
      <c r="K247" s="4"/>
      <c r="L247" s="4" t="str" cm="1">
        <f t="array" ref="L247">_xlfn.IFS(E247&gt;=40,"Senior",E247&gt;=30,"Menior",E247&lt;30,"Fresher")</f>
        <v>Menior</v>
      </c>
      <c r="M247" s="4" t="str" cm="1">
        <f t="array" ref="M247">_xlfn.IFS(J247&gt;4,"High rating",J247&gt;=3,"Medium rating",J247&lt;3,"Low rating")</f>
        <v>High rating</v>
      </c>
      <c r="N247" s="4"/>
      <c r="O247">
        <v>2015</v>
      </c>
    </row>
    <row r="248" spans="1:15" x14ac:dyDescent="0.25">
      <c r="A248" s="4" t="s">
        <v>620</v>
      </c>
      <c r="B248" s="4" t="s">
        <v>33</v>
      </c>
      <c r="C248" s="4" t="s">
        <v>19</v>
      </c>
      <c r="D248" s="4" t="s">
        <v>20</v>
      </c>
      <c r="E248" s="4">
        <v>45</v>
      </c>
      <c r="F248" s="4" t="s">
        <v>621</v>
      </c>
      <c r="G248" s="4"/>
      <c r="H248" s="4">
        <v>118157</v>
      </c>
      <c r="I248" s="4" t="s">
        <v>22</v>
      </c>
      <c r="J248" s="4">
        <v>4</v>
      </c>
      <c r="K248" s="4"/>
      <c r="L248" s="4" t="str" cm="1">
        <f t="array" ref="L248">_xlfn.IFS(E248&gt;=40,"Senior",E248&gt;=30,"Menior",E248&lt;30,"Fresher")</f>
        <v>Senior</v>
      </c>
      <c r="M248" s="4" t="str" cm="1">
        <f t="array" ref="M248">_xlfn.IFS(J248&gt;4,"High rating",J248&gt;=3,"Medium rating",J248&lt;3,"Low rating")</f>
        <v>Medium rating</v>
      </c>
      <c r="N248" s="4"/>
      <c r="O248">
        <v>2022</v>
      </c>
    </row>
    <row r="249" spans="1:15" x14ac:dyDescent="0.25">
      <c r="A249" s="4" t="s">
        <v>622</v>
      </c>
      <c r="B249" s="4" t="s">
        <v>33</v>
      </c>
      <c r="C249" s="4" t="s">
        <v>34</v>
      </c>
      <c r="D249" s="4" t="s">
        <v>13</v>
      </c>
      <c r="E249" s="4">
        <v>24</v>
      </c>
      <c r="F249" s="4" t="s">
        <v>623</v>
      </c>
      <c r="G249" s="4" t="s">
        <v>624</v>
      </c>
      <c r="H249" s="4">
        <v>28930</v>
      </c>
      <c r="I249" s="4" t="s">
        <v>16</v>
      </c>
      <c r="J249" s="4">
        <v>2</v>
      </c>
      <c r="K249" s="4">
        <f t="shared" si="6"/>
        <v>3.1205479452054794</v>
      </c>
      <c r="L249" s="4" t="str" cm="1">
        <f t="array" ref="L249">_xlfn.IFS(E249&gt;=40,"Senior",E249&gt;=30,"Menior",E249&lt;30,"Fresher")</f>
        <v>Fresher</v>
      </c>
      <c r="M249" s="4" t="str" cm="1">
        <f t="array" ref="M249">_xlfn.IFS(J249&gt;4,"High rating",J249&gt;=3,"Medium rating",J249&lt;3,"Low rating")</f>
        <v>Low rating</v>
      </c>
      <c r="N249" s="4" t="str">
        <f t="shared" si="7"/>
        <v>no</v>
      </c>
      <c r="O249">
        <v>2016</v>
      </c>
    </row>
    <row r="250" spans="1:15" x14ac:dyDescent="0.25">
      <c r="A250" s="4" t="s">
        <v>625</v>
      </c>
      <c r="B250" s="4" t="s">
        <v>37</v>
      </c>
      <c r="C250" s="4" t="s">
        <v>12</v>
      </c>
      <c r="D250" s="4" t="s">
        <v>20</v>
      </c>
      <c r="E250" s="4">
        <v>49</v>
      </c>
      <c r="F250" s="4" t="s">
        <v>626</v>
      </c>
      <c r="G250" s="4" t="s">
        <v>627</v>
      </c>
      <c r="H250" s="4">
        <v>104818</v>
      </c>
      <c r="I250" s="4" t="s">
        <v>16</v>
      </c>
      <c r="J250" s="4">
        <v>3</v>
      </c>
      <c r="K250" s="4">
        <f t="shared" si="6"/>
        <v>2.2547945205479452</v>
      </c>
      <c r="L250" s="4" t="str" cm="1">
        <f t="array" ref="L250">_xlfn.IFS(E250&gt;=40,"Senior",E250&gt;=30,"Menior",E250&lt;30,"Fresher")</f>
        <v>Senior</v>
      </c>
      <c r="M250" s="4" t="str" cm="1">
        <f t="array" ref="M250">_xlfn.IFS(J250&gt;4,"High rating",J250&gt;=3,"Medium rating",J250&lt;3,"Low rating")</f>
        <v>Medium rating</v>
      </c>
      <c r="N250" s="4" t="str">
        <f t="shared" si="7"/>
        <v>no</v>
      </c>
      <c r="O250">
        <v>2015</v>
      </c>
    </row>
    <row r="251" spans="1:15" x14ac:dyDescent="0.25">
      <c r="A251" s="4" t="s">
        <v>628</v>
      </c>
      <c r="B251" s="4" t="s">
        <v>73</v>
      </c>
      <c r="C251" s="4" t="s">
        <v>24</v>
      </c>
      <c r="D251" s="4" t="s">
        <v>20</v>
      </c>
      <c r="E251" s="4">
        <v>25</v>
      </c>
      <c r="F251" s="4" t="s">
        <v>629</v>
      </c>
      <c r="G251" s="4" t="s">
        <v>630</v>
      </c>
      <c r="H251" s="4">
        <v>31666</v>
      </c>
      <c r="I251" s="4" t="s">
        <v>16</v>
      </c>
      <c r="J251" s="4">
        <v>1</v>
      </c>
      <c r="K251" s="4">
        <f t="shared" si="6"/>
        <v>2.5561643835616437</v>
      </c>
      <c r="L251" s="4" t="str" cm="1">
        <f t="array" ref="L251">_xlfn.IFS(E251&gt;=40,"Senior",E251&gt;=30,"Menior",E251&lt;30,"Fresher")</f>
        <v>Fresher</v>
      </c>
      <c r="M251" s="4" t="str" cm="1">
        <f t="array" ref="M251">_xlfn.IFS(J251&gt;4,"High rating",J251&gt;=3,"Medium rating",J251&lt;3,"Low rating")</f>
        <v>Low rating</v>
      </c>
      <c r="N251" s="4" t="str">
        <f t="shared" si="7"/>
        <v>no</v>
      </c>
      <c r="O251">
        <v>2015</v>
      </c>
    </row>
    <row r="252" spans="1:15" x14ac:dyDescent="0.25">
      <c r="A252" s="4" t="s">
        <v>631</v>
      </c>
      <c r="B252" s="4" t="s">
        <v>37</v>
      </c>
      <c r="C252" s="4" t="s">
        <v>24</v>
      </c>
      <c r="D252" s="4" t="s">
        <v>20</v>
      </c>
      <c r="E252" s="4">
        <v>34</v>
      </c>
      <c r="F252" s="4" t="s">
        <v>632</v>
      </c>
      <c r="G252" s="4"/>
      <c r="H252" s="4">
        <v>73954</v>
      </c>
      <c r="I252" s="4" t="s">
        <v>22</v>
      </c>
      <c r="J252" s="4">
        <v>5</v>
      </c>
      <c r="K252" s="4"/>
      <c r="L252" s="4" t="str" cm="1">
        <f t="array" ref="L252">_xlfn.IFS(E252&gt;=40,"Senior",E252&gt;=30,"Menior",E252&lt;30,"Fresher")</f>
        <v>Menior</v>
      </c>
      <c r="M252" s="4" t="str" cm="1">
        <f t="array" ref="M252">_xlfn.IFS(J252&gt;4,"High rating",J252&gt;=3,"Medium rating",J252&lt;3,"Low rating")</f>
        <v>High rating</v>
      </c>
      <c r="N252" s="4"/>
      <c r="O252">
        <v>2018</v>
      </c>
    </row>
    <row r="253" spans="1:15" x14ac:dyDescent="0.25">
      <c r="A253" s="4" t="s">
        <v>633</v>
      </c>
      <c r="B253" s="4" t="s">
        <v>33</v>
      </c>
      <c r="C253" s="4" t="s">
        <v>12</v>
      </c>
      <c r="D253" s="4" t="s">
        <v>20</v>
      </c>
      <c r="E253" s="4">
        <v>47</v>
      </c>
      <c r="F253" s="4" t="s">
        <v>306</v>
      </c>
      <c r="G253" s="4" t="s">
        <v>634</v>
      </c>
      <c r="H253" s="4">
        <v>32176</v>
      </c>
      <c r="I253" s="4" t="s">
        <v>16</v>
      </c>
      <c r="J253" s="4">
        <v>1</v>
      </c>
      <c r="K253" s="4">
        <f t="shared" si="6"/>
        <v>1.6684931506849314</v>
      </c>
      <c r="L253" s="4" t="str" cm="1">
        <f t="array" ref="L253">_xlfn.IFS(E253&gt;=40,"Senior",E253&gt;=30,"Menior",E253&lt;30,"Fresher")</f>
        <v>Senior</v>
      </c>
      <c r="M253" s="4" t="str" cm="1">
        <f t="array" ref="M253">_xlfn.IFS(J253&gt;4,"High rating",J253&gt;=3,"Medium rating",J253&lt;3,"Low rating")</f>
        <v>Low rating</v>
      </c>
      <c r="N253" s="4" t="str">
        <f t="shared" si="7"/>
        <v>yes</v>
      </c>
      <c r="O253">
        <v>2018</v>
      </c>
    </row>
    <row r="254" spans="1:15" x14ac:dyDescent="0.25">
      <c r="A254" s="4" t="s">
        <v>635</v>
      </c>
      <c r="B254" s="4" t="s">
        <v>18</v>
      </c>
      <c r="C254" s="4" t="s">
        <v>34</v>
      </c>
      <c r="D254" s="4" t="s">
        <v>20</v>
      </c>
      <c r="E254" s="4">
        <v>35</v>
      </c>
      <c r="F254" s="4" t="s">
        <v>636</v>
      </c>
      <c r="G254" s="4"/>
      <c r="H254" s="4">
        <v>102071</v>
      </c>
      <c r="I254" s="4" t="s">
        <v>22</v>
      </c>
      <c r="J254" s="4">
        <v>4</v>
      </c>
      <c r="K254" s="4"/>
      <c r="L254" s="4" t="str" cm="1">
        <f t="array" ref="L254">_xlfn.IFS(E254&gt;=40,"Senior",E254&gt;=30,"Menior",E254&lt;30,"Fresher")</f>
        <v>Menior</v>
      </c>
      <c r="M254" s="4" t="str" cm="1">
        <f t="array" ref="M254">_xlfn.IFS(J254&gt;4,"High rating",J254&gt;=3,"Medium rating",J254&lt;3,"Low rating")</f>
        <v>Medium rating</v>
      </c>
      <c r="N254" s="4"/>
      <c r="O254">
        <v>2022</v>
      </c>
    </row>
    <row r="255" spans="1:15" x14ac:dyDescent="0.25">
      <c r="A255" s="4" t="s">
        <v>637</v>
      </c>
      <c r="B255" s="4" t="s">
        <v>18</v>
      </c>
      <c r="C255" s="4" t="s">
        <v>19</v>
      </c>
      <c r="D255" s="4" t="s">
        <v>20</v>
      </c>
      <c r="E255" s="4">
        <v>40</v>
      </c>
      <c r="F255" s="4" t="s">
        <v>638</v>
      </c>
      <c r="G255" s="4" t="s">
        <v>639</v>
      </c>
      <c r="H255" s="4">
        <v>28918</v>
      </c>
      <c r="I255" s="4" t="s">
        <v>16</v>
      </c>
      <c r="J255" s="4">
        <v>5</v>
      </c>
      <c r="K255" s="4">
        <f t="shared" si="6"/>
        <v>1.1452054794520548</v>
      </c>
      <c r="L255" s="4" t="str" cm="1">
        <f t="array" ref="L255">_xlfn.IFS(E255&gt;=40,"Senior",E255&gt;=30,"Menior",E255&lt;30,"Fresher")</f>
        <v>Senior</v>
      </c>
      <c r="M255" s="4" t="str" cm="1">
        <f t="array" ref="M255">_xlfn.IFS(J255&gt;4,"High rating",J255&gt;=3,"Medium rating",J255&lt;3,"Low rating")</f>
        <v>High rating</v>
      </c>
      <c r="N255" s="4" t="str">
        <f t="shared" si="7"/>
        <v>yes</v>
      </c>
      <c r="O255">
        <v>2019</v>
      </c>
    </row>
    <row r="256" spans="1:15" x14ac:dyDescent="0.25">
      <c r="A256" s="4" t="s">
        <v>640</v>
      </c>
      <c r="B256" s="4" t="s">
        <v>73</v>
      </c>
      <c r="C256" s="4" t="s">
        <v>34</v>
      </c>
      <c r="D256" s="4" t="s">
        <v>13</v>
      </c>
      <c r="E256" s="4">
        <v>33</v>
      </c>
      <c r="F256" s="4" t="s">
        <v>504</v>
      </c>
      <c r="G256" s="4" t="s">
        <v>641</v>
      </c>
      <c r="H256" s="4">
        <v>48573</v>
      </c>
      <c r="I256" s="4" t="s">
        <v>16</v>
      </c>
      <c r="J256" s="4">
        <v>4</v>
      </c>
      <c r="K256" s="4">
        <f t="shared" si="6"/>
        <v>3.0410958904109591</v>
      </c>
      <c r="L256" s="4" t="str" cm="1">
        <f t="array" ref="L256">_xlfn.IFS(E256&gt;=40,"Senior",E256&gt;=30,"Menior",E256&lt;30,"Fresher")</f>
        <v>Menior</v>
      </c>
      <c r="M256" s="4" t="str" cm="1">
        <f t="array" ref="M256">_xlfn.IFS(J256&gt;4,"High rating",J256&gt;=3,"Medium rating",J256&lt;3,"Low rating")</f>
        <v>Medium rating</v>
      </c>
      <c r="N256" s="4" t="str">
        <f t="shared" si="7"/>
        <v>no</v>
      </c>
      <c r="O256">
        <v>2016</v>
      </c>
    </row>
    <row r="257" spans="1:15" x14ac:dyDescent="0.25">
      <c r="A257" s="4" t="s">
        <v>642</v>
      </c>
      <c r="B257" s="4" t="s">
        <v>73</v>
      </c>
      <c r="C257" s="4" t="s">
        <v>19</v>
      </c>
      <c r="D257" s="4" t="s">
        <v>20</v>
      </c>
      <c r="E257" s="4">
        <v>30</v>
      </c>
      <c r="F257" s="4" t="s">
        <v>643</v>
      </c>
      <c r="G257" s="4"/>
      <c r="H257" s="4">
        <v>40817</v>
      </c>
      <c r="I257" s="4" t="s">
        <v>22</v>
      </c>
      <c r="J257" s="4">
        <v>5</v>
      </c>
      <c r="K257" s="4"/>
      <c r="L257" s="4" t="str" cm="1">
        <f t="array" ref="L257">_xlfn.IFS(E257&gt;=40,"Senior",E257&gt;=30,"Menior",E257&lt;30,"Fresher")</f>
        <v>Menior</v>
      </c>
      <c r="M257" s="4" t="str" cm="1">
        <f t="array" ref="M257">_xlfn.IFS(J257&gt;4,"High rating",J257&gt;=3,"Medium rating",J257&lt;3,"Low rating")</f>
        <v>High rating</v>
      </c>
      <c r="N257" s="4"/>
      <c r="O257">
        <v>2018</v>
      </c>
    </row>
    <row r="258" spans="1:15" x14ac:dyDescent="0.25">
      <c r="A258" s="4" t="s">
        <v>644</v>
      </c>
      <c r="B258" s="4" t="s">
        <v>58</v>
      </c>
      <c r="C258" s="4" t="s">
        <v>12</v>
      </c>
      <c r="D258" s="4" t="s">
        <v>13</v>
      </c>
      <c r="E258" s="4">
        <v>26</v>
      </c>
      <c r="F258" s="4" t="s">
        <v>645</v>
      </c>
      <c r="G258" s="4" t="s">
        <v>646</v>
      </c>
      <c r="H258" s="4">
        <v>95453</v>
      </c>
      <c r="I258" s="4" t="s">
        <v>16</v>
      </c>
      <c r="J258" s="4">
        <v>2</v>
      </c>
      <c r="K258" s="4">
        <f t="shared" si="6"/>
        <v>1.7972602739726027</v>
      </c>
      <c r="L258" s="4" t="str" cm="1">
        <f t="array" ref="L258">_xlfn.IFS(E258&gt;=40,"Senior",E258&gt;=30,"Menior",E258&lt;30,"Fresher")</f>
        <v>Fresher</v>
      </c>
      <c r="M258" s="4" t="str" cm="1">
        <f t="array" ref="M258">_xlfn.IFS(J258&gt;4,"High rating",J258&gt;=3,"Medium rating",J258&lt;3,"Low rating")</f>
        <v>Low rating</v>
      </c>
      <c r="N258" s="4" t="str">
        <f t="shared" si="7"/>
        <v>yes</v>
      </c>
      <c r="O258">
        <v>2020</v>
      </c>
    </row>
    <row r="259" spans="1:15" x14ac:dyDescent="0.25">
      <c r="A259" s="4" t="s">
        <v>647</v>
      </c>
      <c r="B259" s="4" t="s">
        <v>11</v>
      </c>
      <c r="C259" s="4" t="s">
        <v>24</v>
      </c>
      <c r="D259" s="4" t="s">
        <v>20</v>
      </c>
      <c r="E259" s="4">
        <v>40</v>
      </c>
      <c r="F259" s="4" t="s">
        <v>648</v>
      </c>
      <c r="G259" s="4" t="s">
        <v>649</v>
      </c>
      <c r="H259" s="4">
        <v>39758</v>
      </c>
      <c r="I259" s="4" t="s">
        <v>16</v>
      </c>
      <c r="J259" s="4">
        <v>2</v>
      </c>
      <c r="K259" s="4">
        <f t="shared" ref="K259:K301" si="8">(G259-F259)/365</f>
        <v>1.0438356164383562</v>
      </c>
      <c r="L259" s="4" t="str" cm="1">
        <f t="array" ref="L259">_xlfn.IFS(E259&gt;=40,"Senior",E259&gt;=30,"Menior",E259&lt;30,"Fresher")</f>
        <v>Senior</v>
      </c>
      <c r="M259" s="4" t="str" cm="1">
        <f t="array" ref="M259">_xlfn.IFS(J259&gt;4,"High rating",J259&gt;=3,"Medium rating",J259&lt;3,"Low rating")</f>
        <v>Low rating</v>
      </c>
      <c r="N259" s="4" t="str">
        <f t="shared" ref="N259:N301" si="9">IF(AND(G259&lt;&gt;"",DATEDIF(F259,G259,"y")&lt;2),"yes","no")</f>
        <v>yes</v>
      </c>
      <c r="O259">
        <v>2019</v>
      </c>
    </row>
    <row r="260" spans="1:15" x14ac:dyDescent="0.25">
      <c r="A260" s="4" t="s">
        <v>650</v>
      </c>
      <c r="B260" s="4" t="s">
        <v>33</v>
      </c>
      <c r="C260" s="4" t="s">
        <v>27</v>
      </c>
      <c r="D260" s="4" t="s">
        <v>20</v>
      </c>
      <c r="E260" s="4">
        <v>43</v>
      </c>
      <c r="F260" s="4" t="s">
        <v>651</v>
      </c>
      <c r="G260" s="4"/>
      <c r="H260" s="4">
        <v>116056</v>
      </c>
      <c r="I260" s="4" t="s">
        <v>22</v>
      </c>
      <c r="J260" s="4">
        <v>2</v>
      </c>
      <c r="K260" s="4"/>
      <c r="L260" s="4" t="str" cm="1">
        <f t="array" ref="L260">_xlfn.IFS(E260&gt;=40,"Senior",E260&gt;=30,"Menior",E260&lt;30,"Fresher")</f>
        <v>Senior</v>
      </c>
      <c r="M260" s="4" t="str" cm="1">
        <f t="array" ref="M260">_xlfn.IFS(J260&gt;4,"High rating",J260&gt;=3,"Medium rating",J260&lt;3,"Low rating")</f>
        <v>Low rating</v>
      </c>
      <c r="N260" s="4"/>
      <c r="O260">
        <v>2018</v>
      </c>
    </row>
    <row r="261" spans="1:15" x14ac:dyDescent="0.25">
      <c r="A261" s="4" t="s">
        <v>652</v>
      </c>
      <c r="B261" s="4" t="s">
        <v>37</v>
      </c>
      <c r="C261" s="4" t="s">
        <v>24</v>
      </c>
      <c r="D261" s="4" t="s">
        <v>20</v>
      </c>
      <c r="E261" s="4">
        <v>46</v>
      </c>
      <c r="F261" s="4" t="s">
        <v>653</v>
      </c>
      <c r="G261" s="4" t="s">
        <v>654</v>
      </c>
      <c r="H261" s="4">
        <v>98914</v>
      </c>
      <c r="I261" s="4" t="s">
        <v>16</v>
      </c>
      <c r="J261" s="4">
        <v>5</v>
      </c>
      <c r="K261" s="4">
        <f t="shared" si="8"/>
        <v>1.5643835616438355</v>
      </c>
      <c r="L261" s="4" t="str" cm="1">
        <f t="array" ref="L261">_xlfn.IFS(E261&gt;=40,"Senior",E261&gt;=30,"Menior",E261&lt;30,"Fresher")</f>
        <v>Senior</v>
      </c>
      <c r="M261" s="4" t="str" cm="1">
        <f t="array" ref="M261">_xlfn.IFS(J261&gt;4,"High rating",J261&gt;=3,"Medium rating",J261&lt;3,"Low rating")</f>
        <v>High rating</v>
      </c>
      <c r="N261" s="4" t="str">
        <f t="shared" si="9"/>
        <v>yes</v>
      </c>
      <c r="O261">
        <v>2016</v>
      </c>
    </row>
    <row r="262" spans="1:15" x14ac:dyDescent="0.25">
      <c r="A262" s="4" t="s">
        <v>655</v>
      </c>
      <c r="B262" s="4" t="s">
        <v>44</v>
      </c>
      <c r="C262" s="4" t="s">
        <v>34</v>
      </c>
      <c r="D262" s="4" t="s">
        <v>13</v>
      </c>
      <c r="E262" s="4">
        <v>33</v>
      </c>
      <c r="F262" s="4" t="s">
        <v>656</v>
      </c>
      <c r="G262" s="4" t="s">
        <v>657</v>
      </c>
      <c r="H262" s="4">
        <v>32507</v>
      </c>
      <c r="I262" s="4" t="s">
        <v>16</v>
      </c>
      <c r="J262" s="4">
        <v>4</v>
      </c>
      <c r="K262" s="4">
        <f t="shared" si="8"/>
        <v>4.0356164383561648</v>
      </c>
      <c r="L262" s="4" t="str" cm="1">
        <f t="array" ref="L262">_xlfn.IFS(E262&gt;=40,"Senior",E262&gt;=30,"Menior",E262&lt;30,"Fresher")</f>
        <v>Menior</v>
      </c>
      <c r="M262" s="4" t="str" cm="1">
        <f t="array" ref="M262">_xlfn.IFS(J262&gt;4,"High rating",J262&gt;=3,"Medium rating",J262&lt;3,"Low rating")</f>
        <v>Medium rating</v>
      </c>
      <c r="N262" s="4" t="str">
        <f t="shared" si="9"/>
        <v>no</v>
      </c>
      <c r="O262">
        <v>2018</v>
      </c>
    </row>
    <row r="263" spans="1:15" x14ac:dyDescent="0.25">
      <c r="A263" s="4" t="s">
        <v>658</v>
      </c>
      <c r="B263" s="4" t="s">
        <v>58</v>
      </c>
      <c r="C263" s="4" t="s">
        <v>24</v>
      </c>
      <c r="D263" s="4" t="s">
        <v>13</v>
      </c>
      <c r="E263" s="4">
        <v>40</v>
      </c>
      <c r="F263" s="4" t="s">
        <v>659</v>
      </c>
      <c r="G263" s="4" t="s">
        <v>660</v>
      </c>
      <c r="H263" s="4">
        <v>101290</v>
      </c>
      <c r="I263" s="4" t="s">
        <v>16</v>
      </c>
      <c r="J263" s="4">
        <v>2</v>
      </c>
      <c r="K263" s="4">
        <f t="shared" si="8"/>
        <v>3.5178082191780824</v>
      </c>
      <c r="L263" s="4" t="str" cm="1">
        <f t="array" ref="L263">_xlfn.IFS(E263&gt;=40,"Senior",E263&gt;=30,"Menior",E263&lt;30,"Fresher")</f>
        <v>Senior</v>
      </c>
      <c r="M263" s="4" t="str" cm="1">
        <f t="array" ref="M263">_xlfn.IFS(J263&gt;4,"High rating",J263&gt;=3,"Medium rating",J263&lt;3,"Low rating")</f>
        <v>Low rating</v>
      </c>
      <c r="N263" s="4" t="str">
        <f t="shared" si="9"/>
        <v>no</v>
      </c>
      <c r="O263">
        <v>2020</v>
      </c>
    </row>
    <row r="264" spans="1:15" x14ac:dyDescent="0.25">
      <c r="A264" s="4" t="s">
        <v>661</v>
      </c>
      <c r="B264" s="4" t="s">
        <v>73</v>
      </c>
      <c r="C264" s="4" t="s">
        <v>19</v>
      </c>
      <c r="D264" s="4" t="s">
        <v>13</v>
      </c>
      <c r="E264" s="4">
        <v>45</v>
      </c>
      <c r="F264" s="4" t="s">
        <v>662</v>
      </c>
      <c r="G264" s="4"/>
      <c r="H264" s="4">
        <v>27487</v>
      </c>
      <c r="I264" s="4" t="s">
        <v>22</v>
      </c>
      <c r="J264" s="4">
        <v>3</v>
      </c>
      <c r="K264" s="4"/>
      <c r="L264" s="4" t="str" cm="1">
        <f t="array" ref="L264">_xlfn.IFS(E264&gt;=40,"Senior",E264&gt;=30,"Menior",E264&lt;30,"Fresher")</f>
        <v>Senior</v>
      </c>
      <c r="M264" s="4" t="str" cm="1">
        <f t="array" ref="M264">_xlfn.IFS(J264&gt;4,"High rating",J264&gt;=3,"Medium rating",J264&lt;3,"Low rating")</f>
        <v>Medium rating</v>
      </c>
      <c r="N264" s="4"/>
      <c r="O264">
        <v>2016</v>
      </c>
    </row>
    <row r="265" spans="1:15" x14ac:dyDescent="0.25">
      <c r="A265" s="4" t="s">
        <v>663</v>
      </c>
      <c r="B265" s="4" t="s">
        <v>33</v>
      </c>
      <c r="C265" s="4" t="s">
        <v>27</v>
      </c>
      <c r="D265" s="4" t="s">
        <v>20</v>
      </c>
      <c r="E265" s="4">
        <v>49</v>
      </c>
      <c r="F265" s="4" t="s">
        <v>507</v>
      </c>
      <c r="G265" s="4" t="s">
        <v>328</v>
      </c>
      <c r="H265" s="4">
        <v>27633</v>
      </c>
      <c r="I265" s="4" t="s">
        <v>16</v>
      </c>
      <c r="J265" s="4">
        <v>4</v>
      </c>
      <c r="K265" s="4">
        <f t="shared" si="8"/>
        <v>3.6904109589041094</v>
      </c>
      <c r="L265" s="4" t="str" cm="1">
        <f t="array" ref="L265">_xlfn.IFS(E265&gt;=40,"Senior",E265&gt;=30,"Menior",E265&lt;30,"Fresher")</f>
        <v>Senior</v>
      </c>
      <c r="M265" s="4" t="str" cm="1">
        <f t="array" ref="M265">_xlfn.IFS(J265&gt;4,"High rating",J265&gt;=3,"Medium rating",J265&lt;3,"Low rating")</f>
        <v>Medium rating</v>
      </c>
      <c r="N265" s="4" t="str">
        <f t="shared" si="9"/>
        <v>no</v>
      </c>
      <c r="O265">
        <v>2018</v>
      </c>
    </row>
    <row r="266" spans="1:15" x14ac:dyDescent="0.25">
      <c r="A266" s="4" t="s">
        <v>664</v>
      </c>
      <c r="B266" s="4" t="s">
        <v>83</v>
      </c>
      <c r="C266" s="4" t="s">
        <v>34</v>
      </c>
      <c r="D266" s="4" t="s">
        <v>20</v>
      </c>
      <c r="E266" s="4">
        <v>40</v>
      </c>
      <c r="F266" s="4" t="s">
        <v>141</v>
      </c>
      <c r="G266" s="4" t="s">
        <v>161</v>
      </c>
      <c r="H266" s="4">
        <v>40272</v>
      </c>
      <c r="I266" s="4" t="s">
        <v>16</v>
      </c>
      <c r="J266" s="4">
        <v>2</v>
      </c>
      <c r="K266" s="4">
        <f t="shared" si="8"/>
        <v>0.9506849315068493</v>
      </c>
      <c r="L266" s="4" t="str" cm="1">
        <f t="array" ref="L266">_xlfn.IFS(E266&gt;=40,"Senior",E266&gt;=30,"Menior",E266&lt;30,"Fresher")</f>
        <v>Senior</v>
      </c>
      <c r="M266" s="4" t="str" cm="1">
        <f t="array" ref="M266">_xlfn.IFS(J266&gt;4,"High rating",J266&gt;=3,"Medium rating",J266&lt;3,"Low rating")</f>
        <v>Low rating</v>
      </c>
      <c r="N266" s="4" t="str">
        <f t="shared" si="9"/>
        <v>yes</v>
      </c>
      <c r="O266">
        <v>2020</v>
      </c>
    </row>
    <row r="267" spans="1:15" x14ac:dyDescent="0.25">
      <c r="A267" s="4" t="s">
        <v>665</v>
      </c>
      <c r="B267" s="4" t="s">
        <v>11</v>
      </c>
      <c r="C267" s="4" t="s">
        <v>24</v>
      </c>
      <c r="D267" s="4" t="s">
        <v>20</v>
      </c>
      <c r="E267" s="4">
        <v>34</v>
      </c>
      <c r="F267" s="4" t="s">
        <v>666</v>
      </c>
      <c r="G267" s="4" t="s">
        <v>667</v>
      </c>
      <c r="H267" s="4">
        <v>92529</v>
      </c>
      <c r="I267" s="4" t="s">
        <v>16</v>
      </c>
      <c r="J267" s="4">
        <v>2</v>
      </c>
      <c r="K267" s="4">
        <f t="shared" si="8"/>
        <v>3.2767123287671232</v>
      </c>
      <c r="L267" s="4" t="str" cm="1">
        <f t="array" ref="L267">_xlfn.IFS(E267&gt;=40,"Senior",E267&gt;=30,"Menior",E267&lt;30,"Fresher")</f>
        <v>Menior</v>
      </c>
      <c r="M267" s="4" t="str" cm="1">
        <f t="array" ref="M267">_xlfn.IFS(J267&gt;4,"High rating",J267&gt;=3,"Medium rating",J267&lt;3,"Low rating")</f>
        <v>Low rating</v>
      </c>
      <c r="N267" s="4" t="str">
        <f t="shared" si="9"/>
        <v>no</v>
      </c>
      <c r="O267">
        <v>2017</v>
      </c>
    </row>
    <row r="268" spans="1:15" x14ac:dyDescent="0.25">
      <c r="A268" s="4" t="s">
        <v>668</v>
      </c>
      <c r="B268" s="4" t="s">
        <v>58</v>
      </c>
      <c r="C268" s="4" t="s">
        <v>34</v>
      </c>
      <c r="D268" s="4" t="s">
        <v>13</v>
      </c>
      <c r="E268" s="4">
        <v>50</v>
      </c>
      <c r="F268" s="4" t="s">
        <v>669</v>
      </c>
      <c r="G268" s="4" t="s">
        <v>50</v>
      </c>
      <c r="H268" s="4">
        <v>67213</v>
      </c>
      <c r="I268" s="4" t="s">
        <v>16</v>
      </c>
      <c r="J268" s="4">
        <v>1</v>
      </c>
      <c r="K268" s="4">
        <f t="shared" si="8"/>
        <v>3.6931506849315068</v>
      </c>
      <c r="L268" s="4" t="str" cm="1">
        <f t="array" ref="L268">_xlfn.IFS(E268&gt;=40,"Senior",E268&gt;=30,"Menior",E268&lt;30,"Fresher")</f>
        <v>Senior</v>
      </c>
      <c r="M268" s="4" t="str" cm="1">
        <f t="array" ref="M268">_xlfn.IFS(J268&gt;4,"High rating",J268&gt;=3,"Medium rating",J268&lt;3,"Low rating")</f>
        <v>Low rating</v>
      </c>
      <c r="N268" s="4" t="str">
        <f t="shared" si="9"/>
        <v>no</v>
      </c>
      <c r="O268">
        <v>2016</v>
      </c>
    </row>
    <row r="269" spans="1:15" x14ac:dyDescent="0.25">
      <c r="A269" s="4" t="s">
        <v>670</v>
      </c>
      <c r="B269" s="4" t="s">
        <v>73</v>
      </c>
      <c r="C269" s="4" t="s">
        <v>24</v>
      </c>
      <c r="D269" s="4" t="s">
        <v>13</v>
      </c>
      <c r="E269" s="4">
        <v>39</v>
      </c>
      <c r="F269" s="4" t="s">
        <v>671</v>
      </c>
      <c r="G269" s="4" t="s">
        <v>672</v>
      </c>
      <c r="H269" s="4">
        <v>34575</v>
      </c>
      <c r="I269" s="4" t="s">
        <v>16</v>
      </c>
      <c r="J269" s="4">
        <v>2</v>
      </c>
      <c r="K269" s="4">
        <f t="shared" si="8"/>
        <v>1.5506849315068494</v>
      </c>
      <c r="L269" s="4" t="str" cm="1">
        <f t="array" ref="L269">_xlfn.IFS(E269&gt;=40,"Senior",E269&gt;=30,"Menior",E269&lt;30,"Fresher")</f>
        <v>Menior</v>
      </c>
      <c r="M269" s="4" t="str" cm="1">
        <f t="array" ref="M269">_xlfn.IFS(J269&gt;4,"High rating",J269&gt;=3,"Medium rating",J269&lt;3,"Low rating")</f>
        <v>Low rating</v>
      </c>
      <c r="N269" s="4" t="str">
        <f t="shared" si="9"/>
        <v>yes</v>
      </c>
      <c r="O269">
        <v>2023</v>
      </c>
    </row>
    <row r="270" spans="1:15" x14ac:dyDescent="0.25">
      <c r="A270" s="4" t="s">
        <v>673</v>
      </c>
      <c r="B270" s="4" t="s">
        <v>33</v>
      </c>
      <c r="C270" s="4" t="s">
        <v>19</v>
      </c>
      <c r="D270" s="4" t="s">
        <v>13</v>
      </c>
      <c r="E270" s="4">
        <v>36</v>
      </c>
      <c r="F270" s="4" t="s">
        <v>674</v>
      </c>
      <c r="G270" s="4"/>
      <c r="H270" s="4">
        <v>54486</v>
      </c>
      <c r="I270" s="4" t="s">
        <v>22</v>
      </c>
      <c r="J270" s="4">
        <v>2</v>
      </c>
      <c r="K270" s="4"/>
      <c r="L270" s="4" t="str" cm="1">
        <f t="array" ref="L270">_xlfn.IFS(E270&gt;=40,"Senior",E270&gt;=30,"Menior",E270&lt;30,"Fresher")</f>
        <v>Menior</v>
      </c>
      <c r="M270" s="4" t="str" cm="1">
        <f t="array" ref="M270">_xlfn.IFS(J270&gt;4,"High rating",J270&gt;=3,"Medium rating",J270&lt;3,"Low rating")</f>
        <v>Low rating</v>
      </c>
      <c r="N270" s="4"/>
      <c r="O270">
        <v>2019</v>
      </c>
    </row>
    <row r="271" spans="1:15" x14ac:dyDescent="0.25">
      <c r="A271" s="4" t="s">
        <v>675</v>
      </c>
      <c r="B271" s="4" t="s">
        <v>58</v>
      </c>
      <c r="C271" s="4" t="s">
        <v>34</v>
      </c>
      <c r="D271" s="4" t="s">
        <v>13</v>
      </c>
      <c r="E271" s="4">
        <v>24</v>
      </c>
      <c r="F271" s="4" t="s">
        <v>676</v>
      </c>
      <c r="G271" s="4"/>
      <c r="H271" s="4">
        <v>98984</v>
      </c>
      <c r="I271" s="4" t="s">
        <v>22</v>
      </c>
      <c r="J271" s="4">
        <v>4</v>
      </c>
      <c r="K271" s="4"/>
      <c r="L271" s="4" t="str" cm="1">
        <f t="array" ref="L271">_xlfn.IFS(E271&gt;=40,"Senior",E271&gt;=30,"Menior",E271&lt;30,"Fresher")</f>
        <v>Fresher</v>
      </c>
      <c r="M271" s="4" t="str" cm="1">
        <f t="array" ref="M271">_xlfn.IFS(J271&gt;4,"High rating",J271&gt;=3,"Medium rating",J271&lt;3,"Low rating")</f>
        <v>Medium rating</v>
      </c>
      <c r="N271" s="4"/>
      <c r="O271">
        <v>2019</v>
      </c>
    </row>
    <row r="272" spans="1:15" x14ac:dyDescent="0.25">
      <c r="A272" s="4" t="s">
        <v>677</v>
      </c>
      <c r="B272" s="4" t="s">
        <v>37</v>
      </c>
      <c r="C272" s="4" t="s">
        <v>19</v>
      </c>
      <c r="D272" s="4" t="s">
        <v>20</v>
      </c>
      <c r="E272" s="4">
        <v>34</v>
      </c>
      <c r="F272" s="4" t="s">
        <v>678</v>
      </c>
      <c r="G272" s="4" t="s">
        <v>679</v>
      </c>
      <c r="H272" s="4">
        <v>82493</v>
      </c>
      <c r="I272" s="4" t="s">
        <v>16</v>
      </c>
      <c r="J272" s="4">
        <v>5</v>
      </c>
      <c r="K272" s="4">
        <f t="shared" si="8"/>
        <v>3.3643835616438356</v>
      </c>
      <c r="L272" s="4" t="str" cm="1">
        <f t="array" ref="L272">_xlfn.IFS(E272&gt;=40,"Senior",E272&gt;=30,"Menior",E272&lt;30,"Fresher")</f>
        <v>Menior</v>
      </c>
      <c r="M272" s="4" t="str" cm="1">
        <f t="array" ref="M272">_xlfn.IFS(J272&gt;4,"High rating",J272&gt;=3,"Medium rating",J272&lt;3,"Low rating")</f>
        <v>High rating</v>
      </c>
      <c r="N272" s="4" t="str">
        <f t="shared" si="9"/>
        <v>no</v>
      </c>
      <c r="O272">
        <v>2022</v>
      </c>
    </row>
    <row r="273" spans="1:15" x14ac:dyDescent="0.25">
      <c r="A273" s="4" t="s">
        <v>680</v>
      </c>
      <c r="B273" s="4" t="s">
        <v>33</v>
      </c>
      <c r="C273" s="4" t="s">
        <v>19</v>
      </c>
      <c r="D273" s="4" t="s">
        <v>20</v>
      </c>
      <c r="E273" s="4">
        <v>35</v>
      </c>
      <c r="F273" s="4" t="s">
        <v>681</v>
      </c>
      <c r="G273" s="4" t="s">
        <v>682</v>
      </c>
      <c r="H273" s="4">
        <v>80918</v>
      </c>
      <c r="I273" s="4" t="s">
        <v>16</v>
      </c>
      <c r="J273" s="4">
        <v>1</v>
      </c>
      <c r="K273" s="4">
        <f t="shared" si="8"/>
        <v>1.7917808219178082</v>
      </c>
      <c r="L273" s="4" t="str" cm="1">
        <f t="array" ref="L273">_xlfn.IFS(E273&gt;=40,"Senior",E273&gt;=30,"Menior",E273&lt;30,"Fresher")</f>
        <v>Menior</v>
      </c>
      <c r="M273" s="4" t="str" cm="1">
        <f t="array" ref="M273">_xlfn.IFS(J273&gt;4,"High rating",J273&gt;=3,"Medium rating",J273&lt;3,"Low rating")</f>
        <v>Low rating</v>
      </c>
      <c r="N273" s="4" t="str">
        <f t="shared" si="9"/>
        <v>yes</v>
      </c>
      <c r="O273">
        <v>2015</v>
      </c>
    </row>
    <row r="274" spans="1:15" x14ac:dyDescent="0.25">
      <c r="A274" s="4" t="s">
        <v>683</v>
      </c>
      <c r="B274" s="4" t="s">
        <v>37</v>
      </c>
      <c r="C274" s="4" t="s">
        <v>27</v>
      </c>
      <c r="D274" s="4" t="s">
        <v>13</v>
      </c>
      <c r="E274" s="4">
        <v>44</v>
      </c>
      <c r="F274" s="4" t="s">
        <v>604</v>
      </c>
      <c r="G274" s="4" t="s">
        <v>684</v>
      </c>
      <c r="H274" s="4">
        <v>81547</v>
      </c>
      <c r="I274" s="4" t="s">
        <v>16</v>
      </c>
      <c r="J274" s="4">
        <v>5</v>
      </c>
      <c r="K274" s="4">
        <f t="shared" si="8"/>
        <v>3.8684931506849316</v>
      </c>
      <c r="L274" s="4" t="str" cm="1">
        <f t="array" ref="L274">_xlfn.IFS(E274&gt;=40,"Senior",E274&gt;=30,"Menior",E274&lt;30,"Fresher")</f>
        <v>Senior</v>
      </c>
      <c r="M274" s="4" t="str" cm="1">
        <f t="array" ref="M274">_xlfn.IFS(J274&gt;4,"High rating",J274&gt;=3,"Medium rating",J274&lt;3,"Low rating")</f>
        <v>High rating</v>
      </c>
      <c r="N274" s="4" t="str">
        <f t="shared" si="9"/>
        <v>no</v>
      </c>
      <c r="O274">
        <v>2019</v>
      </c>
    </row>
    <row r="275" spans="1:15" x14ac:dyDescent="0.25">
      <c r="A275" s="4" t="s">
        <v>685</v>
      </c>
      <c r="B275" s="4" t="s">
        <v>33</v>
      </c>
      <c r="C275" s="4" t="s">
        <v>24</v>
      </c>
      <c r="D275" s="4" t="s">
        <v>20</v>
      </c>
      <c r="E275" s="4">
        <v>23</v>
      </c>
      <c r="F275" s="4" t="s">
        <v>686</v>
      </c>
      <c r="G275" s="4" t="s">
        <v>632</v>
      </c>
      <c r="H275" s="4">
        <v>54984</v>
      </c>
      <c r="I275" s="4" t="s">
        <v>16</v>
      </c>
      <c r="J275" s="4">
        <v>5</v>
      </c>
      <c r="K275" s="4">
        <f t="shared" si="8"/>
        <v>1.1397260273972603</v>
      </c>
      <c r="L275" s="4" t="str" cm="1">
        <f t="array" ref="L275">_xlfn.IFS(E275&gt;=40,"Senior",E275&gt;=30,"Menior",E275&lt;30,"Fresher")</f>
        <v>Fresher</v>
      </c>
      <c r="M275" s="4" t="str" cm="1">
        <f t="array" ref="M275">_xlfn.IFS(J275&gt;4,"High rating",J275&gt;=3,"Medium rating",J275&lt;3,"Low rating")</f>
        <v>High rating</v>
      </c>
      <c r="N275" s="4" t="str">
        <f t="shared" si="9"/>
        <v>yes</v>
      </c>
      <c r="O275">
        <v>2017</v>
      </c>
    </row>
    <row r="276" spans="1:15" x14ac:dyDescent="0.25">
      <c r="A276" s="4" t="s">
        <v>687</v>
      </c>
      <c r="B276" s="4" t="s">
        <v>37</v>
      </c>
      <c r="C276" s="4" t="s">
        <v>27</v>
      </c>
      <c r="D276" s="4" t="s">
        <v>20</v>
      </c>
      <c r="E276" s="4">
        <v>39</v>
      </c>
      <c r="F276" s="4" t="s">
        <v>688</v>
      </c>
      <c r="G276" s="4" t="s">
        <v>689</v>
      </c>
      <c r="H276" s="4">
        <v>76237</v>
      </c>
      <c r="I276" s="4" t="s">
        <v>16</v>
      </c>
      <c r="J276" s="4">
        <v>2</v>
      </c>
      <c r="K276" s="4">
        <f t="shared" si="8"/>
        <v>0.35890410958904112</v>
      </c>
      <c r="L276" s="4" t="str" cm="1">
        <f t="array" ref="L276">_xlfn.IFS(E276&gt;=40,"Senior",E276&gt;=30,"Menior",E276&lt;30,"Fresher")</f>
        <v>Menior</v>
      </c>
      <c r="M276" s="4" t="str" cm="1">
        <f t="array" ref="M276">_xlfn.IFS(J276&gt;4,"High rating",J276&gt;=3,"Medium rating",J276&lt;3,"Low rating")</f>
        <v>Low rating</v>
      </c>
      <c r="N276" s="4" t="str">
        <f t="shared" si="9"/>
        <v>yes</v>
      </c>
      <c r="O276">
        <v>2018</v>
      </c>
    </row>
    <row r="277" spans="1:15" x14ac:dyDescent="0.25">
      <c r="A277" s="4" t="s">
        <v>690</v>
      </c>
      <c r="B277" s="4" t="s">
        <v>40</v>
      </c>
      <c r="C277" s="4" t="s">
        <v>27</v>
      </c>
      <c r="D277" s="4" t="s">
        <v>13</v>
      </c>
      <c r="E277" s="4">
        <v>30</v>
      </c>
      <c r="F277" s="4" t="s">
        <v>691</v>
      </c>
      <c r="G277" s="4"/>
      <c r="H277" s="4">
        <v>92324</v>
      </c>
      <c r="I277" s="4" t="s">
        <v>22</v>
      </c>
      <c r="J277" s="4">
        <v>2</v>
      </c>
      <c r="K277" s="4"/>
      <c r="L277" s="4" t="str" cm="1">
        <f t="array" ref="L277">_xlfn.IFS(E277&gt;=40,"Senior",E277&gt;=30,"Menior",E277&lt;30,"Fresher")</f>
        <v>Menior</v>
      </c>
      <c r="M277" s="4" t="str" cm="1">
        <f t="array" ref="M277">_xlfn.IFS(J277&gt;4,"High rating",J277&gt;=3,"Medium rating",J277&lt;3,"Low rating")</f>
        <v>Low rating</v>
      </c>
      <c r="N277" s="4"/>
      <c r="O277">
        <v>2018</v>
      </c>
    </row>
    <row r="278" spans="1:15" x14ac:dyDescent="0.25">
      <c r="A278" s="4" t="s">
        <v>692</v>
      </c>
      <c r="B278" s="4" t="s">
        <v>40</v>
      </c>
      <c r="C278" s="4" t="s">
        <v>19</v>
      </c>
      <c r="D278" s="4" t="s">
        <v>20</v>
      </c>
      <c r="E278" s="4">
        <v>40</v>
      </c>
      <c r="F278" s="4" t="s">
        <v>693</v>
      </c>
      <c r="G278" s="4" t="s">
        <v>694</v>
      </c>
      <c r="H278" s="4">
        <v>82778</v>
      </c>
      <c r="I278" s="4" t="s">
        <v>16</v>
      </c>
      <c r="J278" s="4">
        <v>5</v>
      </c>
      <c r="K278" s="4">
        <f t="shared" si="8"/>
        <v>2.3068493150684932</v>
      </c>
      <c r="L278" s="4" t="str" cm="1">
        <f t="array" ref="L278">_xlfn.IFS(E278&gt;=40,"Senior",E278&gt;=30,"Menior",E278&lt;30,"Fresher")</f>
        <v>Senior</v>
      </c>
      <c r="M278" s="4" t="str" cm="1">
        <f t="array" ref="M278">_xlfn.IFS(J278&gt;4,"High rating",J278&gt;=3,"Medium rating",J278&lt;3,"Low rating")</f>
        <v>High rating</v>
      </c>
      <c r="N278" s="4" t="str">
        <f t="shared" si="9"/>
        <v>no</v>
      </c>
      <c r="O278">
        <v>2021</v>
      </c>
    </row>
    <row r="279" spans="1:15" x14ac:dyDescent="0.25">
      <c r="A279" s="4" t="s">
        <v>695</v>
      </c>
      <c r="B279" s="4" t="s">
        <v>44</v>
      </c>
      <c r="C279" s="4" t="s">
        <v>27</v>
      </c>
      <c r="D279" s="4" t="s">
        <v>13</v>
      </c>
      <c r="E279" s="4">
        <v>37</v>
      </c>
      <c r="F279" s="4" t="s">
        <v>696</v>
      </c>
      <c r="G279" s="4" t="s">
        <v>697</v>
      </c>
      <c r="H279" s="4">
        <v>69936</v>
      </c>
      <c r="I279" s="4" t="s">
        <v>16</v>
      </c>
      <c r="J279" s="4">
        <v>1</v>
      </c>
      <c r="K279" s="4">
        <f t="shared" si="8"/>
        <v>1.3260273972602741</v>
      </c>
      <c r="L279" s="4" t="str" cm="1">
        <f t="array" ref="L279">_xlfn.IFS(E279&gt;=40,"Senior",E279&gt;=30,"Menior",E279&lt;30,"Fresher")</f>
        <v>Menior</v>
      </c>
      <c r="M279" s="4" t="str" cm="1">
        <f t="array" ref="M279">_xlfn.IFS(J279&gt;4,"High rating",J279&gt;=3,"Medium rating",J279&lt;3,"Low rating")</f>
        <v>Low rating</v>
      </c>
      <c r="N279" s="4" t="str">
        <f t="shared" si="9"/>
        <v>yes</v>
      </c>
      <c r="O279">
        <v>2021</v>
      </c>
    </row>
    <row r="280" spans="1:15" x14ac:dyDescent="0.25">
      <c r="A280" s="4" t="s">
        <v>698</v>
      </c>
      <c r="B280" s="4" t="s">
        <v>11</v>
      </c>
      <c r="C280" s="4" t="s">
        <v>34</v>
      </c>
      <c r="D280" s="4" t="s">
        <v>20</v>
      </c>
      <c r="E280" s="4">
        <v>29</v>
      </c>
      <c r="F280" s="4" t="s">
        <v>122</v>
      </c>
      <c r="G280" s="4"/>
      <c r="H280" s="4">
        <v>44966</v>
      </c>
      <c r="I280" s="4" t="s">
        <v>22</v>
      </c>
      <c r="J280" s="4">
        <v>1</v>
      </c>
      <c r="K280" s="4"/>
      <c r="L280" s="4" t="str" cm="1">
        <f t="array" ref="L280">_xlfn.IFS(E280&gt;=40,"Senior",E280&gt;=30,"Menior",E280&lt;30,"Fresher")</f>
        <v>Fresher</v>
      </c>
      <c r="M280" s="4" t="str" cm="1">
        <f t="array" ref="M280">_xlfn.IFS(J280&gt;4,"High rating",J280&gt;=3,"Medium rating",J280&lt;3,"Low rating")</f>
        <v>Low rating</v>
      </c>
      <c r="N280" s="4"/>
      <c r="O280">
        <v>2017</v>
      </c>
    </row>
    <row r="281" spans="1:15" x14ac:dyDescent="0.25">
      <c r="A281" s="4" t="s">
        <v>699</v>
      </c>
      <c r="B281" s="4" t="s">
        <v>58</v>
      </c>
      <c r="C281" s="4" t="s">
        <v>19</v>
      </c>
      <c r="D281" s="4" t="s">
        <v>13</v>
      </c>
      <c r="E281" s="4">
        <v>42</v>
      </c>
      <c r="F281" s="4" t="s">
        <v>700</v>
      </c>
      <c r="G281" s="4"/>
      <c r="H281" s="4">
        <v>48685</v>
      </c>
      <c r="I281" s="4" t="s">
        <v>22</v>
      </c>
      <c r="J281" s="4">
        <v>4</v>
      </c>
      <c r="K281" s="4"/>
      <c r="L281" s="4" t="str" cm="1">
        <f t="array" ref="L281">_xlfn.IFS(E281&gt;=40,"Senior",E281&gt;=30,"Menior",E281&lt;30,"Fresher")</f>
        <v>Senior</v>
      </c>
      <c r="M281" s="4" t="str" cm="1">
        <f t="array" ref="M281">_xlfn.IFS(J281&gt;4,"High rating",J281&gt;=3,"Medium rating",J281&lt;3,"Low rating")</f>
        <v>Medium rating</v>
      </c>
      <c r="N281" s="4"/>
      <c r="O281">
        <v>2017</v>
      </c>
    </row>
    <row r="282" spans="1:15" x14ac:dyDescent="0.25">
      <c r="A282" s="4" t="s">
        <v>701</v>
      </c>
      <c r="B282" s="4" t="s">
        <v>83</v>
      </c>
      <c r="C282" s="4" t="s">
        <v>34</v>
      </c>
      <c r="D282" s="4" t="s">
        <v>13</v>
      </c>
      <c r="E282" s="4">
        <v>33</v>
      </c>
      <c r="F282" s="4" t="s">
        <v>702</v>
      </c>
      <c r="G282" s="4"/>
      <c r="H282" s="4">
        <v>106001</v>
      </c>
      <c r="I282" s="4" t="s">
        <v>22</v>
      </c>
      <c r="J282" s="4">
        <v>1</v>
      </c>
      <c r="K282" s="4"/>
      <c r="L282" s="4" t="str" cm="1">
        <f t="array" ref="L282">_xlfn.IFS(E282&gt;=40,"Senior",E282&gt;=30,"Menior",E282&lt;30,"Fresher")</f>
        <v>Menior</v>
      </c>
      <c r="M282" s="4" t="str" cm="1">
        <f t="array" ref="M282">_xlfn.IFS(J282&gt;4,"High rating",J282&gt;=3,"Medium rating",J282&lt;3,"Low rating")</f>
        <v>Low rating</v>
      </c>
      <c r="N282" s="4"/>
      <c r="O282">
        <v>2020</v>
      </c>
    </row>
    <row r="283" spans="1:15" x14ac:dyDescent="0.25">
      <c r="A283" s="4" t="s">
        <v>703</v>
      </c>
      <c r="B283" s="4" t="s">
        <v>37</v>
      </c>
      <c r="C283" s="4" t="s">
        <v>34</v>
      </c>
      <c r="D283" s="4" t="s">
        <v>20</v>
      </c>
      <c r="E283" s="4">
        <v>41</v>
      </c>
      <c r="F283" s="4" t="s">
        <v>704</v>
      </c>
      <c r="G283" s="4" t="s">
        <v>705</v>
      </c>
      <c r="H283" s="4">
        <v>41525</v>
      </c>
      <c r="I283" s="4" t="s">
        <v>16</v>
      </c>
      <c r="J283" s="4">
        <v>2</v>
      </c>
      <c r="K283" s="4">
        <f t="shared" si="8"/>
        <v>1.9671232876712328</v>
      </c>
      <c r="L283" s="4" t="str" cm="1">
        <f t="array" ref="L283">_xlfn.IFS(E283&gt;=40,"Senior",E283&gt;=30,"Menior",E283&lt;30,"Fresher")</f>
        <v>Senior</v>
      </c>
      <c r="M283" s="4" t="str" cm="1">
        <f t="array" ref="M283">_xlfn.IFS(J283&gt;4,"High rating",J283&gt;=3,"Medium rating",J283&lt;3,"Low rating")</f>
        <v>Low rating</v>
      </c>
      <c r="N283" s="4" t="str">
        <f t="shared" si="9"/>
        <v>yes</v>
      </c>
      <c r="O283">
        <v>2018</v>
      </c>
    </row>
    <row r="284" spans="1:15" x14ac:dyDescent="0.25">
      <c r="A284" s="4" t="s">
        <v>706</v>
      </c>
      <c r="B284" s="4" t="s">
        <v>58</v>
      </c>
      <c r="C284" s="4" t="s">
        <v>27</v>
      </c>
      <c r="D284" s="4" t="s">
        <v>20</v>
      </c>
      <c r="E284" s="4">
        <v>44</v>
      </c>
      <c r="F284" s="4" t="s">
        <v>707</v>
      </c>
      <c r="G284" s="4" t="s">
        <v>708</v>
      </c>
      <c r="H284" s="4">
        <v>46166</v>
      </c>
      <c r="I284" s="4" t="s">
        <v>16</v>
      </c>
      <c r="J284" s="4">
        <v>2</v>
      </c>
      <c r="K284" s="4">
        <f t="shared" si="8"/>
        <v>3.0876712328767124</v>
      </c>
      <c r="L284" s="4" t="str" cm="1">
        <f t="array" ref="L284">_xlfn.IFS(E284&gt;=40,"Senior",E284&gt;=30,"Menior",E284&lt;30,"Fresher")</f>
        <v>Senior</v>
      </c>
      <c r="M284" s="4" t="str" cm="1">
        <f t="array" ref="M284">_xlfn.IFS(J284&gt;4,"High rating",J284&gt;=3,"Medium rating",J284&lt;3,"Low rating")</f>
        <v>Low rating</v>
      </c>
      <c r="N284" s="4" t="str">
        <f t="shared" si="9"/>
        <v>no</v>
      </c>
      <c r="O284">
        <v>2022</v>
      </c>
    </row>
    <row r="285" spans="1:15" x14ac:dyDescent="0.25">
      <c r="A285" s="4" t="s">
        <v>709</v>
      </c>
      <c r="B285" s="4" t="s">
        <v>18</v>
      </c>
      <c r="C285" s="4" t="s">
        <v>19</v>
      </c>
      <c r="D285" s="4" t="s">
        <v>13</v>
      </c>
      <c r="E285" s="4">
        <v>36</v>
      </c>
      <c r="F285" s="4" t="s">
        <v>243</v>
      </c>
      <c r="G285" s="4"/>
      <c r="H285" s="4">
        <v>104193</v>
      </c>
      <c r="I285" s="4" t="s">
        <v>22</v>
      </c>
      <c r="J285" s="4">
        <v>5</v>
      </c>
      <c r="K285" s="4"/>
      <c r="L285" s="4" t="str" cm="1">
        <f t="array" ref="L285">_xlfn.IFS(E285&gt;=40,"Senior",E285&gt;=30,"Menior",E285&lt;30,"Fresher")</f>
        <v>Menior</v>
      </c>
      <c r="M285" s="4" t="str" cm="1">
        <f t="array" ref="M285">_xlfn.IFS(J285&gt;4,"High rating",J285&gt;=3,"Medium rating",J285&lt;3,"Low rating")</f>
        <v>High rating</v>
      </c>
      <c r="N285" s="4"/>
      <c r="O285">
        <v>2022</v>
      </c>
    </row>
    <row r="286" spans="1:15" x14ac:dyDescent="0.25">
      <c r="A286" s="4" t="s">
        <v>710</v>
      </c>
      <c r="B286" s="4" t="s">
        <v>40</v>
      </c>
      <c r="C286" s="4" t="s">
        <v>12</v>
      </c>
      <c r="D286" s="4" t="s">
        <v>20</v>
      </c>
      <c r="E286" s="4">
        <v>39</v>
      </c>
      <c r="F286" s="4" t="s">
        <v>711</v>
      </c>
      <c r="G286" s="4"/>
      <c r="H286" s="4">
        <v>98350</v>
      </c>
      <c r="I286" s="4" t="s">
        <v>22</v>
      </c>
      <c r="J286" s="4">
        <v>4</v>
      </c>
      <c r="K286" s="4"/>
      <c r="L286" s="4" t="str" cm="1">
        <f t="array" ref="L286">_xlfn.IFS(E286&gt;=40,"Senior",E286&gt;=30,"Menior",E286&lt;30,"Fresher")</f>
        <v>Menior</v>
      </c>
      <c r="M286" s="4" t="str" cm="1">
        <f t="array" ref="M286">_xlfn.IFS(J286&gt;4,"High rating",J286&gt;=3,"Medium rating",J286&lt;3,"Low rating")</f>
        <v>Medium rating</v>
      </c>
      <c r="N286" s="4"/>
      <c r="O286">
        <v>2020</v>
      </c>
    </row>
    <row r="287" spans="1:15" x14ac:dyDescent="0.25">
      <c r="A287" s="4" t="s">
        <v>712</v>
      </c>
      <c r="B287" s="4" t="s">
        <v>40</v>
      </c>
      <c r="C287" s="4" t="s">
        <v>24</v>
      </c>
      <c r="D287" s="4" t="s">
        <v>20</v>
      </c>
      <c r="E287" s="4">
        <v>33</v>
      </c>
      <c r="F287" s="4" t="s">
        <v>713</v>
      </c>
      <c r="G287" s="4" t="s">
        <v>714</v>
      </c>
      <c r="H287" s="4">
        <v>63164</v>
      </c>
      <c r="I287" s="4" t="s">
        <v>16</v>
      </c>
      <c r="J287" s="4">
        <v>5</v>
      </c>
      <c r="K287" s="4">
        <f t="shared" si="8"/>
        <v>0.30410958904109592</v>
      </c>
      <c r="L287" s="4" t="str" cm="1">
        <f t="array" ref="L287">_xlfn.IFS(E287&gt;=40,"Senior",E287&gt;=30,"Menior",E287&lt;30,"Fresher")</f>
        <v>Menior</v>
      </c>
      <c r="M287" s="4" t="str" cm="1">
        <f t="array" ref="M287">_xlfn.IFS(J287&gt;4,"High rating",J287&gt;=3,"Medium rating",J287&lt;3,"Low rating")</f>
        <v>High rating</v>
      </c>
      <c r="N287" s="4" t="str">
        <f t="shared" si="9"/>
        <v>yes</v>
      </c>
      <c r="O287">
        <v>2021</v>
      </c>
    </row>
    <row r="288" spans="1:15" x14ac:dyDescent="0.25">
      <c r="A288" s="4" t="s">
        <v>715</v>
      </c>
      <c r="B288" s="4" t="s">
        <v>58</v>
      </c>
      <c r="C288" s="4" t="s">
        <v>12</v>
      </c>
      <c r="D288" s="4" t="s">
        <v>13</v>
      </c>
      <c r="E288" s="4">
        <v>31</v>
      </c>
      <c r="F288" s="4" t="s">
        <v>716</v>
      </c>
      <c r="G288" s="4" t="s">
        <v>717</v>
      </c>
      <c r="H288" s="4">
        <v>71819</v>
      </c>
      <c r="I288" s="4" t="s">
        <v>16</v>
      </c>
      <c r="J288" s="4">
        <v>2</v>
      </c>
      <c r="K288" s="4">
        <f t="shared" si="8"/>
        <v>1.3287671232876712</v>
      </c>
      <c r="L288" s="4" t="str" cm="1">
        <f t="array" ref="L288">_xlfn.IFS(E288&gt;=40,"Senior",E288&gt;=30,"Menior",E288&lt;30,"Fresher")</f>
        <v>Menior</v>
      </c>
      <c r="M288" s="4" t="str" cm="1">
        <f t="array" ref="M288">_xlfn.IFS(J288&gt;4,"High rating",J288&gt;=3,"Medium rating",J288&lt;3,"Low rating")</f>
        <v>Low rating</v>
      </c>
      <c r="N288" s="4" t="str">
        <f t="shared" si="9"/>
        <v>yes</v>
      </c>
      <c r="O288">
        <v>2019</v>
      </c>
    </row>
    <row r="289" spans="1:15" x14ac:dyDescent="0.25">
      <c r="A289" s="4" t="s">
        <v>718</v>
      </c>
      <c r="B289" s="4" t="s">
        <v>73</v>
      </c>
      <c r="C289" s="4" t="s">
        <v>24</v>
      </c>
      <c r="D289" s="4" t="s">
        <v>20</v>
      </c>
      <c r="E289" s="4">
        <v>30</v>
      </c>
      <c r="F289" s="4" t="s">
        <v>719</v>
      </c>
      <c r="G289" s="4"/>
      <c r="H289" s="4">
        <v>92575</v>
      </c>
      <c r="I289" s="4" t="s">
        <v>22</v>
      </c>
      <c r="J289" s="4">
        <v>3</v>
      </c>
      <c r="K289" s="4"/>
      <c r="L289" s="4" t="str" cm="1">
        <f t="array" ref="L289">_xlfn.IFS(E289&gt;=40,"Senior",E289&gt;=30,"Menior",E289&lt;30,"Fresher")</f>
        <v>Menior</v>
      </c>
      <c r="M289" s="4" t="str" cm="1">
        <f t="array" ref="M289">_xlfn.IFS(J289&gt;4,"High rating",J289&gt;=3,"Medium rating",J289&lt;3,"Low rating")</f>
        <v>Medium rating</v>
      </c>
      <c r="N289" s="4"/>
      <c r="O289">
        <v>2019</v>
      </c>
    </row>
    <row r="290" spans="1:15" x14ac:dyDescent="0.25">
      <c r="A290" s="4" t="s">
        <v>720</v>
      </c>
      <c r="B290" s="4" t="s">
        <v>44</v>
      </c>
      <c r="C290" s="4" t="s">
        <v>24</v>
      </c>
      <c r="D290" s="4" t="s">
        <v>13</v>
      </c>
      <c r="E290" s="4">
        <v>32</v>
      </c>
      <c r="F290" s="4" t="s">
        <v>721</v>
      </c>
      <c r="G290" s="4" t="s">
        <v>342</v>
      </c>
      <c r="H290" s="4">
        <v>87256</v>
      </c>
      <c r="I290" s="4" t="s">
        <v>16</v>
      </c>
      <c r="J290" s="4">
        <v>1</v>
      </c>
      <c r="K290" s="4">
        <f t="shared" si="8"/>
        <v>2.8657534246575342</v>
      </c>
      <c r="L290" s="4" t="str" cm="1">
        <f t="array" ref="L290">_xlfn.IFS(E290&gt;=40,"Senior",E290&gt;=30,"Menior",E290&lt;30,"Fresher")</f>
        <v>Menior</v>
      </c>
      <c r="M290" s="4" t="str" cm="1">
        <f t="array" ref="M290">_xlfn.IFS(J290&gt;4,"High rating",J290&gt;=3,"Medium rating",J290&lt;3,"Low rating")</f>
        <v>Low rating</v>
      </c>
      <c r="N290" s="4" t="str">
        <f t="shared" si="9"/>
        <v>no</v>
      </c>
      <c r="O290">
        <v>2021</v>
      </c>
    </row>
    <row r="291" spans="1:15" x14ac:dyDescent="0.25">
      <c r="A291" s="4" t="s">
        <v>722</v>
      </c>
      <c r="B291" s="4" t="s">
        <v>52</v>
      </c>
      <c r="C291" s="4" t="s">
        <v>12</v>
      </c>
      <c r="D291" s="4" t="s">
        <v>20</v>
      </c>
      <c r="E291" s="4">
        <v>28</v>
      </c>
      <c r="F291" s="4" t="s">
        <v>723</v>
      </c>
      <c r="G291" s="4"/>
      <c r="H291" s="4">
        <v>109542</v>
      </c>
      <c r="I291" s="4" t="s">
        <v>22</v>
      </c>
      <c r="J291" s="4">
        <v>4</v>
      </c>
      <c r="K291" s="4"/>
      <c r="L291" s="4" t="str" cm="1">
        <f t="array" ref="L291">_xlfn.IFS(E291&gt;=40,"Senior",E291&gt;=30,"Menior",E291&lt;30,"Fresher")</f>
        <v>Fresher</v>
      </c>
      <c r="M291" s="4" t="str" cm="1">
        <f t="array" ref="M291">_xlfn.IFS(J291&gt;4,"High rating",J291&gt;=3,"Medium rating",J291&lt;3,"Low rating")</f>
        <v>Medium rating</v>
      </c>
      <c r="N291" s="4"/>
      <c r="O291">
        <v>2015</v>
      </c>
    </row>
    <row r="292" spans="1:15" x14ac:dyDescent="0.25">
      <c r="A292" s="4" t="s">
        <v>724</v>
      </c>
      <c r="B292" s="4" t="s">
        <v>37</v>
      </c>
      <c r="C292" s="4" t="s">
        <v>27</v>
      </c>
      <c r="D292" s="4" t="s">
        <v>20</v>
      </c>
      <c r="E292" s="4">
        <v>45</v>
      </c>
      <c r="F292" s="4" t="s">
        <v>725</v>
      </c>
      <c r="G292" s="4" t="s">
        <v>726</v>
      </c>
      <c r="H292" s="4">
        <v>116779</v>
      </c>
      <c r="I292" s="4" t="s">
        <v>16</v>
      </c>
      <c r="J292" s="4">
        <v>4</v>
      </c>
      <c r="K292" s="4">
        <f t="shared" si="8"/>
        <v>0.23835616438356164</v>
      </c>
      <c r="L292" s="4" t="str" cm="1">
        <f t="array" ref="L292">_xlfn.IFS(E292&gt;=40,"Senior",E292&gt;=30,"Menior",E292&lt;30,"Fresher")</f>
        <v>Senior</v>
      </c>
      <c r="M292" s="4" t="str" cm="1">
        <f t="array" ref="M292">_xlfn.IFS(J292&gt;4,"High rating",J292&gt;=3,"Medium rating",J292&lt;3,"Low rating")</f>
        <v>Medium rating</v>
      </c>
      <c r="N292" s="4" t="str">
        <f t="shared" si="9"/>
        <v>yes</v>
      </c>
      <c r="O292">
        <v>2017</v>
      </c>
    </row>
    <row r="293" spans="1:15" x14ac:dyDescent="0.25">
      <c r="A293" s="4" t="s">
        <v>727</v>
      </c>
      <c r="B293" s="4" t="s">
        <v>40</v>
      </c>
      <c r="C293" s="4" t="s">
        <v>19</v>
      </c>
      <c r="D293" s="4" t="s">
        <v>20</v>
      </c>
      <c r="E293" s="4">
        <v>46</v>
      </c>
      <c r="F293" s="4" t="s">
        <v>728</v>
      </c>
      <c r="G293" s="4" t="s">
        <v>79</v>
      </c>
      <c r="H293" s="4">
        <v>61909</v>
      </c>
      <c r="I293" s="4" t="s">
        <v>16</v>
      </c>
      <c r="J293" s="4">
        <v>4</v>
      </c>
      <c r="K293" s="4">
        <f t="shared" si="8"/>
        <v>1.263013698630137</v>
      </c>
      <c r="L293" s="4" t="str" cm="1">
        <f t="array" ref="L293">_xlfn.IFS(E293&gt;=40,"Senior",E293&gt;=30,"Menior",E293&lt;30,"Fresher")</f>
        <v>Senior</v>
      </c>
      <c r="M293" s="4" t="str" cm="1">
        <f t="array" ref="M293">_xlfn.IFS(J293&gt;4,"High rating",J293&gt;=3,"Medium rating",J293&lt;3,"Low rating")</f>
        <v>Medium rating</v>
      </c>
      <c r="N293" s="4" t="str">
        <f t="shared" si="9"/>
        <v>yes</v>
      </c>
      <c r="O293">
        <v>2021</v>
      </c>
    </row>
    <row r="294" spans="1:15" x14ac:dyDescent="0.25">
      <c r="A294" s="4" t="s">
        <v>729</v>
      </c>
      <c r="B294" s="4" t="s">
        <v>83</v>
      </c>
      <c r="C294" s="4" t="s">
        <v>34</v>
      </c>
      <c r="D294" s="4" t="s">
        <v>20</v>
      </c>
      <c r="E294" s="4">
        <v>33</v>
      </c>
      <c r="F294" s="4" t="s">
        <v>730</v>
      </c>
      <c r="G294" s="4" t="s">
        <v>731</v>
      </c>
      <c r="H294" s="4">
        <v>116527</v>
      </c>
      <c r="I294" s="4" t="s">
        <v>16</v>
      </c>
      <c r="J294" s="4">
        <v>2</v>
      </c>
      <c r="K294" s="4">
        <f t="shared" si="8"/>
        <v>0.9178082191780822</v>
      </c>
      <c r="L294" s="4" t="str" cm="1">
        <f t="array" ref="L294">_xlfn.IFS(E294&gt;=40,"Senior",E294&gt;=30,"Menior",E294&lt;30,"Fresher")</f>
        <v>Menior</v>
      </c>
      <c r="M294" s="4" t="str" cm="1">
        <f t="array" ref="M294">_xlfn.IFS(J294&gt;4,"High rating",J294&gt;=3,"Medium rating",J294&lt;3,"Low rating")</f>
        <v>Low rating</v>
      </c>
      <c r="N294" s="4" t="str">
        <f t="shared" si="9"/>
        <v>yes</v>
      </c>
      <c r="O294">
        <v>2017</v>
      </c>
    </row>
    <row r="295" spans="1:15" x14ac:dyDescent="0.25">
      <c r="A295" s="4" t="s">
        <v>732</v>
      </c>
      <c r="B295" s="4" t="s">
        <v>11</v>
      </c>
      <c r="C295" s="4" t="s">
        <v>34</v>
      </c>
      <c r="D295" s="4" t="s">
        <v>13</v>
      </c>
      <c r="E295" s="4">
        <v>38</v>
      </c>
      <c r="F295" s="4" t="s">
        <v>733</v>
      </c>
      <c r="G295" s="4"/>
      <c r="H295" s="4">
        <v>99404</v>
      </c>
      <c r="I295" s="4" t="s">
        <v>22</v>
      </c>
      <c r="J295" s="4">
        <v>3</v>
      </c>
      <c r="K295" s="4"/>
      <c r="L295" s="4" t="str" cm="1">
        <f t="array" ref="L295">_xlfn.IFS(E295&gt;=40,"Senior",E295&gt;=30,"Menior",E295&lt;30,"Fresher")</f>
        <v>Menior</v>
      </c>
      <c r="M295" s="4" t="str" cm="1">
        <f t="array" ref="M295">_xlfn.IFS(J295&gt;4,"High rating",J295&gt;=3,"Medium rating",J295&lt;3,"Low rating")</f>
        <v>Medium rating</v>
      </c>
      <c r="N295" s="4"/>
      <c r="O295">
        <v>2019</v>
      </c>
    </row>
    <row r="296" spans="1:15" x14ac:dyDescent="0.25">
      <c r="A296" s="4" t="s">
        <v>734</v>
      </c>
      <c r="B296" s="4" t="s">
        <v>40</v>
      </c>
      <c r="C296" s="4" t="s">
        <v>24</v>
      </c>
      <c r="D296" s="4" t="s">
        <v>20</v>
      </c>
      <c r="E296" s="4">
        <v>32</v>
      </c>
      <c r="F296" s="4" t="s">
        <v>735</v>
      </c>
      <c r="G296" s="4" t="s">
        <v>172</v>
      </c>
      <c r="H296" s="4">
        <v>35468</v>
      </c>
      <c r="I296" s="4" t="s">
        <v>16</v>
      </c>
      <c r="J296" s="4">
        <v>2</v>
      </c>
      <c r="K296" s="4">
        <f t="shared" si="8"/>
        <v>1.106849315068493</v>
      </c>
      <c r="L296" s="4" t="str" cm="1">
        <f t="array" ref="L296">_xlfn.IFS(E296&gt;=40,"Senior",E296&gt;=30,"Menior",E296&lt;30,"Fresher")</f>
        <v>Menior</v>
      </c>
      <c r="M296" s="4" t="str" cm="1">
        <f t="array" ref="M296">_xlfn.IFS(J296&gt;4,"High rating",J296&gt;=3,"Medium rating",J296&lt;3,"Low rating")</f>
        <v>Low rating</v>
      </c>
      <c r="N296" s="4" t="str">
        <f t="shared" si="9"/>
        <v>yes</v>
      </c>
      <c r="O296">
        <v>2017</v>
      </c>
    </row>
    <row r="297" spans="1:15" x14ac:dyDescent="0.25">
      <c r="A297" s="4" t="s">
        <v>736</v>
      </c>
      <c r="B297" s="4" t="s">
        <v>58</v>
      </c>
      <c r="C297" s="4" t="s">
        <v>12</v>
      </c>
      <c r="D297" s="4" t="s">
        <v>20</v>
      </c>
      <c r="E297" s="4">
        <v>24</v>
      </c>
      <c r="F297" s="4" t="s">
        <v>737</v>
      </c>
      <c r="G297" s="4" t="s">
        <v>738</v>
      </c>
      <c r="H297" s="4">
        <v>50952</v>
      </c>
      <c r="I297" s="4" t="s">
        <v>16</v>
      </c>
      <c r="J297" s="4">
        <v>5</v>
      </c>
      <c r="K297" s="4">
        <f t="shared" si="8"/>
        <v>2.6986301369863015</v>
      </c>
      <c r="L297" s="4" t="str" cm="1">
        <f t="array" ref="L297">_xlfn.IFS(E297&gt;=40,"Senior",E297&gt;=30,"Menior",E297&lt;30,"Fresher")</f>
        <v>Fresher</v>
      </c>
      <c r="M297" s="4" t="str" cm="1">
        <f t="array" ref="M297">_xlfn.IFS(J297&gt;4,"High rating",J297&gt;=3,"Medium rating",J297&lt;3,"Low rating")</f>
        <v>High rating</v>
      </c>
      <c r="N297" s="4" t="str">
        <f t="shared" si="9"/>
        <v>no</v>
      </c>
      <c r="O297">
        <v>2015</v>
      </c>
    </row>
    <row r="298" spans="1:15" x14ac:dyDescent="0.25">
      <c r="A298" s="4" t="s">
        <v>739</v>
      </c>
      <c r="B298" s="4" t="s">
        <v>33</v>
      </c>
      <c r="C298" s="4" t="s">
        <v>34</v>
      </c>
      <c r="D298" s="4" t="s">
        <v>13</v>
      </c>
      <c r="E298" s="4">
        <v>38</v>
      </c>
      <c r="F298" s="4" t="s">
        <v>740</v>
      </c>
      <c r="G298" s="4" t="s">
        <v>741</v>
      </c>
      <c r="H298" s="4">
        <v>80741</v>
      </c>
      <c r="I298" s="4" t="s">
        <v>16</v>
      </c>
      <c r="J298" s="4">
        <v>5</v>
      </c>
      <c r="K298" s="4">
        <f t="shared" si="8"/>
        <v>0.19452054794520549</v>
      </c>
      <c r="L298" s="4" t="str" cm="1">
        <f t="array" ref="L298">_xlfn.IFS(E298&gt;=40,"Senior",E298&gt;=30,"Menior",E298&lt;30,"Fresher")</f>
        <v>Menior</v>
      </c>
      <c r="M298" s="4" t="str" cm="1">
        <f t="array" ref="M298">_xlfn.IFS(J298&gt;4,"High rating",J298&gt;=3,"Medium rating",J298&lt;3,"Low rating")</f>
        <v>High rating</v>
      </c>
      <c r="N298" s="4" t="str">
        <f t="shared" si="9"/>
        <v>yes</v>
      </c>
      <c r="O298">
        <v>2020</v>
      </c>
    </row>
    <row r="299" spans="1:15" x14ac:dyDescent="0.25">
      <c r="A299" s="4" t="s">
        <v>742</v>
      </c>
      <c r="B299" s="4" t="s">
        <v>52</v>
      </c>
      <c r="C299" s="4" t="s">
        <v>24</v>
      </c>
      <c r="D299" s="4" t="s">
        <v>20</v>
      </c>
      <c r="E299" s="4">
        <v>27</v>
      </c>
      <c r="F299" s="4" t="s">
        <v>743</v>
      </c>
      <c r="G299" s="4"/>
      <c r="H299" s="4">
        <v>74080</v>
      </c>
      <c r="I299" s="4" t="s">
        <v>22</v>
      </c>
      <c r="J299" s="4">
        <v>5</v>
      </c>
      <c r="K299" s="4"/>
      <c r="L299" s="4" t="str" cm="1">
        <f t="array" ref="L299">_xlfn.IFS(E299&gt;=40,"Senior",E299&gt;=30,"Menior",E299&lt;30,"Fresher")</f>
        <v>Fresher</v>
      </c>
      <c r="M299" s="4" t="str" cm="1">
        <f t="array" ref="M299">_xlfn.IFS(J299&gt;4,"High rating",J299&gt;=3,"Medium rating",J299&lt;3,"Low rating")</f>
        <v>High rating</v>
      </c>
      <c r="N299" s="4"/>
      <c r="O299">
        <v>2020</v>
      </c>
    </row>
    <row r="300" spans="1:15" x14ac:dyDescent="0.25">
      <c r="A300" s="4" t="s">
        <v>744</v>
      </c>
      <c r="B300" s="4" t="s">
        <v>40</v>
      </c>
      <c r="C300" s="4" t="s">
        <v>27</v>
      </c>
      <c r="D300" s="4" t="s">
        <v>20</v>
      </c>
      <c r="E300" s="4">
        <v>47</v>
      </c>
      <c r="F300" s="4" t="s">
        <v>408</v>
      </c>
      <c r="G300" s="4"/>
      <c r="H300" s="4">
        <v>46330</v>
      </c>
      <c r="I300" s="4" t="s">
        <v>22</v>
      </c>
      <c r="J300" s="4">
        <v>2</v>
      </c>
      <c r="K300" s="4"/>
      <c r="L300" s="4" t="str" cm="1">
        <f t="array" ref="L300">_xlfn.IFS(E300&gt;=40,"Senior",E300&gt;=30,"Menior",E300&lt;30,"Fresher")</f>
        <v>Senior</v>
      </c>
      <c r="M300" s="4" t="str" cm="1">
        <f t="array" ref="M300">_xlfn.IFS(J300&gt;4,"High rating",J300&gt;=3,"Medium rating",J300&lt;3,"Low rating")</f>
        <v>Low rating</v>
      </c>
      <c r="N300" s="4"/>
      <c r="O300">
        <v>2021</v>
      </c>
    </row>
    <row r="301" spans="1:15" x14ac:dyDescent="0.25">
      <c r="A301" s="4" t="s">
        <v>745</v>
      </c>
      <c r="B301" s="4" t="s">
        <v>44</v>
      </c>
      <c r="C301" s="4" t="s">
        <v>27</v>
      </c>
      <c r="D301" s="4" t="s">
        <v>13</v>
      </c>
      <c r="E301" s="4">
        <v>31</v>
      </c>
      <c r="F301" s="4" t="s">
        <v>746</v>
      </c>
      <c r="G301" s="4" t="s">
        <v>747</v>
      </c>
      <c r="H301" s="4">
        <v>93176</v>
      </c>
      <c r="I301" s="4" t="s">
        <v>16</v>
      </c>
      <c r="J301" s="4">
        <v>4</v>
      </c>
      <c r="K301" s="4">
        <f t="shared" si="8"/>
        <v>0.49589041095890413</v>
      </c>
      <c r="L301" s="4" t="str" cm="1">
        <f t="array" ref="L301">_xlfn.IFS(E301&gt;=40,"Senior",E301&gt;=30,"Menior",E301&lt;30,"Fresher")</f>
        <v>Menior</v>
      </c>
      <c r="M301" s="4" t="str" cm="1">
        <f t="array" ref="M301">_xlfn.IFS(J301&gt;4,"High rating",J301&gt;=3,"Medium rating",J301&lt;3,"Low rating")</f>
        <v>Medium rating</v>
      </c>
      <c r="N301" s="4" t="str">
        <f t="shared" si="9"/>
        <v>yes</v>
      </c>
      <c r="O301">
        <v>2016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E7C3-D618-4C85-BF55-D92ED6AD72C4}">
  <dimension ref="A2:P72"/>
  <sheetViews>
    <sheetView topLeftCell="A41" workbookViewId="0">
      <selection activeCell="E9" sqref="E9"/>
    </sheetView>
  </sheetViews>
  <sheetFormatPr defaultRowHeight="15" x14ac:dyDescent="0.25"/>
  <cols>
    <col min="1" max="1" width="13.140625" bestFit="1" customWidth="1"/>
    <col min="2" max="2" width="16.42578125" bestFit="1" customWidth="1"/>
    <col min="3" max="3" width="5.5703125" bestFit="1" customWidth="1"/>
    <col min="4" max="4" width="11.28515625" bestFit="1" customWidth="1"/>
    <col min="5" max="5" width="21" bestFit="1" customWidth="1"/>
    <col min="6" max="7" width="13.140625" bestFit="1" customWidth="1"/>
    <col min="8" max="8" width="15.85546875" bestFit="1" customWidth="1"/>
    <col min="9" max="9" width="14.140625" bestFit="1" customWidth="1"/>
    <col min="10" max="10" width="16.7109375" bestFit="1" customWidth="1"/>
    <col min="11" max="11" width="16.28515625" bestFit="1" customWidth="1"/>
    <col min="12" max="12" width="5.5703125" bestFit="1" customWidth="1"/>
    <col min="13" max="13" width="11.28515625" bestFit="1" customWidth="1"/>
    <col min="14" max="14" width="16.28515625" bestFit="1" customWidth="1"/>
    <col min="15" max="15" width="29.7109375" bestFit="1" customWidth="1"/>
    <col min="16" max="149" width="16.28515625" bestFit="1" customWidth="1"/>
    <col min="150" max="150" width="11.28515625" bestFit="1" customWidth="1"/>
  </cols>
  <sheetData>
    <row r="2" spans="1:13" x14ac:dyDescent="0.25">
      <c r="G2" s="1" t="s">
        <v>748</v>
      </c>
      <c r="H2" t="s">
        <v>754</v>
      </c>
    </row>
    <row r="3" spans="1:13" x14ac:dyDescent="0.25">
      <c r="A3" s="1" t="s">
        <v>748</v>
      </c>
      <c r="B3" t="s">
        <v>772</v>
      </c>
      <c r="D3" s="1" t="s">
        <v>748</v>
      </c>
      <c r="E3" t="s">
        <v>772</v>
      </c>
      <c r="G3" s="2" t="s">
        <v>20</v>
      </c>
      <c r="H3" s="15">
        <v>168</v>
      </c>
      <c r="J3" s="1" t="s">
        <v>755</v>
      </c>
      <c r="K3" s="1" t="s">
        <v>750</v>
      </c>
    </row>
    <row r="4" spans="1:13" x14ac:dyDescent="0.25">
      <c r="A4" s="2">
        <v>2015</v>
      </c>
      <c r="B4" s="15">
        <v>28</v>
      </c>
      <c r="D4" s="2" t="s">
        <v>19</v>
      </c>
      <c r="E4" s="15">
        <v>56</v>
      </c>
      <c r="G4" s="2" t="s">
        <v>13</v>
      </c>
      <c r="H4" s="15">
        <v>132</v>
      </c>
      <c r="J4" s="1" t="s">
        <v>748</v>
      </c>
      <c r="K4" t="s">
        <v>20</v>
      </c>
      <c r="L4" t="s">
        <v>13</v>
      </c>
      <c r="M4" t="s">
        <v>749</v>
      </c>
    </row>
    <row r="5" spans="1:13" x14ac:dyDescent="0.25">
      <c r="A5" s="2">
        <v>2016</v>
      </c>
      <c r="B5" s="15">
        <v>41</v>
      </c>
      <c r="D5" s="2" t="s">
        <v>24</v>
      </c>
      <c r="E5" s="15">
        <v>68</v>
      </c>
      <c r="G5" s="2" t="s">
        <v>749</v>
      </c>
      <c r="H5" s="15">
        <v>300</v>
      </c>
      <c r="J5" s="2" t="s">
        <v>19</v>
      </c>
      <c r="K5" s="15">
        <v>35</v>
      </c>
      <c r="L5" s="15">
        <v>21</v>
      </c>
      <c r="M5" s="15">
        <v>56</v>
      </c>
    </row>
    <row r="6" spans="1:13" x14ac:dyDescent="0.25">
      <c r="A6" s="2">
        <v>2017</v>
      </c>
      <c r="B6" s="15">
        <v>40</v>
      </c>
      <c r="D6" s="2" t="s">
        <v>27</v>
      </c>
      <c r="E6" s="15">
        <v>57</v>
      </c>
      <c r="J6" s="2" t="s">
        <v>24</v>
      </c>
      <c r="K6" s="15">
        <v>40</v>
      </c>
      <c r="L6" s="15">
        <v>28</v>
      </c>
      <c r="M6" s="15">
        <v>68</v>
      </c>
    </row>
    <row r="7" spans="1:13" x14ac:dyDescent="0.25">
      <c r="A7" s="2">
        <v>2018</v>
      </c>
      <c r="B7" s="15">
        <v>37</v>
      </c>
      <c r="D7" s="2" t="s">
        <v>12</v>
      </c>
      <c r="E7" s="15">
        <v>57</v>
      </c>
      <c r="J7" s="2" t="s">
        <v>27</v>
      </c>
      <c r="K7" s="15">
        <v>28</v>
      </c>
      <c r="L7" s="15">
        <v>29</v>
      </c>
      <c r="M7" s="15">
        <v>57</v>
      </c>
    </row>
    <row r="8" spans="1:13" x14ac:dyDescent="0.25">
      <c r="A8" s="2">
        <v>2019</v>
      </c>
      <c r="B8" s="15">
        <v>32</v>
      </c>
      <c r="D8" s="2" t="s">
        <v>34</v>
      </c>
      <c r="E8" s="15">
        <v>62</v>
      </c>
      <c r="J8" s="2" t="s">
        <v>12</v>
      </c>
      <c r="K8" s="15">
        <v>31</v>
      </c>
      <c r="L8" s="15">
        <v>26</v>
      </c>
      <c r="M8" s="15">
        <v>57</v>
      </c>
    </row>
    <row r="9" spans="1:13" x14ac:dyDescent="0.25">
      <c r="A9" s="2">
        <v>2020</v>
      </c>
      <c r="B9" s="15">
        <v>43</v>
      </c>
      <c r="D9" s="2" t="s">
        <v>749</v>
      </c>
      <c r="E9" s="15">
        <v>300</v>
      </c>
      <c r="J9" s="2" t="s">
        <v>34</v>
      </c>
      <c r="K9" s="15">
        <v>34</v>
      </c>
      <c r="L9" s="15">
        <v>28</v>
      </c>
      <c r="M9" s="15">
        <v>62</v>
      </c>
    </row>
    <row r="10" spans="1:13" x14ac:dyDescent="0.25">
      <c r="A10" s="2">
        <v>2021</v>
      </c>
      <c r="B10" s="15">
        <v>40</v>
      </c>
      <c r="J10" s="2" t="s">
        <v>749</v>
      </c>
      <c r="K10" s="15">
        <v>168</v>
      </c>
      <c r="L10" s="15">
        <v>132</v>
      </c>
      <c r="M10" s="15">
        <v>300</v>
      </c>
    </row>
    <row r="11" spans="1:13" x14ac:dyDescent="0.25">
      <c r="A11" s="2">
        <v>2022</v>
      </c>
      <c r="B11" s="15">
        <v>29</v>
      </c>
    </row>
    <row r="12" spans="1:13" x14ac:dyDescent="0.25">
      <c r="A12" s="2">
        <v>2023</v>
      </c>
      <c r="B12" s="15">
        <v>10</v>
      </c>
    </row>
    <row r="13" spans="1:13" x14ac:dyDescent="0.25">
      <c r="A13" s="2" t="s">
        <v>749</v>
      </c>
      <c r="B13" s="15">
        <v>300</v>
      </c>
    </row>
    <row r="21" spans="7:7" x14ac:dyDescent="0.25">
      <c r="G21" s="6"/>
    </row>
    <row r="45" spans="1:16" x14ac:dyDescent="0.25">
      <c r="A45" t="s">
        <v>777</v>
      </c>
      <c r="C45" s="1" t="s">
        <v>748</v>
      </c>
      <c r="D45" t="s">
        <v>778</v>
      </c>
      <c r="F45" s="1" t="s">
        <v>748</v>
      </c>
      <c r="G45" t="s">
        <v>779</v>
      </c>
      <c r="I45" s="1" t="s">
        <v>748</v>
      </c>
      <c r="K45" t="s">
        <v>774</v>
      </c>
      <c r="M45" t="s">
        <v>775</v>
      </c>
      <c r="O45" t="s">
        <v>776</v>
      </c>
    </row>
    <row r="46" spans="1:16" x14ac:dyDescent="0.25">
      <c r="A46">
        <v>300</v>
      </c>
      <c r="B46">
        <f>GETPIVOTDATA("Employee_ID",$A$45)</f>
        <v>300</v>
      </c>
      <c r="C46" s="2" t="s">
        <v>22</v>
      </c>
      <c r="D46">
        <v>149</v>
      </c>
      <c r="E46" s="9">
        <f>GETPIVOTDATA("Employee_ID",$C$45,"Attrition","No")</f>
        <v>149</v>
      </c>
      <c r="F46" s="2" t="s">
        <v>16</v>
      </c>
      <c r="G46">
        <v>151</v>
      </c>
      <c r="H46">
        <f>GETPIVOTDATA("Employee_ID",$F$45,"Attrition","Yes")</f>
        <v>151</v>
      </c>
      <c r="I46" s="8">
        <v>50.333333333333336</v>
      </c>
      <c r="J46" s="7">
        <f>I46</f>
        <v>50.333333333333336</v>
      </c>
      <c r="K46" s="6">
        <v>2.0871232876712336</v>
      </c>
      <c r="L46" s="6">
        <f>GETPIVOTDATA("Experience",$K$45)</f>
        <v>2.0871232876712336</v>
      </c>
      <c r="M46" s="6">
        <v>72675.573333333334</v>
      </c>
      <c r="N46">
        <f>GETPIVOTDATA("Salary",$M$45)</f>
        <v>72675.573333333334</v>
      </c>
      <c r="O46" s="6">
        <v>2.9433333333333334</v>
      </c>
      <c r="P46" s="6">
        <f>GETPIVOTDATA("Performance_Rating",$O$45)</f>
        <v>2.9433333333333334</v>
      </c>
    </row>
    <row r="47" spans="1:16" x14ac:dyDescent="0.25">
      <c r="C47" s="2" t="s">
        <v>749</v>
      </c>
      <c r="D47">
        <v>149</v>
      </c>
      <c r="F47" s="2" t="s">
        <v>749</v>
      </c>
      <c r="G47">
        <v>151</v>
      </c>
      <c r="I47" s="2" t="s">
        <v>749</v>
      </c>
    </row>
    <row r="52" spans="1:10" x14ac:dyDescent="0.25">
      <c r="A52" s="1" t="s">
        <v>755</v>
      </c>
      <c r="B52" s="1" t="s">
        <v>750</v>
      </c>
    </row>
    <row r="53" spans="1:10" x14ac:dyDescent="0.25">
      <c r="A53" s="1" t="s">
        <v>748</v>
      </c>
      <c r="B53" t="s">
        <v>20</v>
      </c>
      <c r="C53" t="s">
        <v>13</v>
      </c>
      <c r="D53" t="s">
        <v>749</v>
      </c>
      <c r="F53" s="1" t="s">
        <v>748</v>
      </c>
      <c r="G53" t="s">
        <v>772</v>
      </c>
      <c r="I53" s="1" t="s">
        <v>748</v>
      </c>
      <c r="J53" t="s">
        <v>772</v>
      </c>
    </row>
    <row r="54" spans="1:10" x14ac:dyDescent="0.25">
      <c r="A54" s="2" t="s">
        <v>763</v>
      </c>
      <c r="B54" s="15">
        <v>20</v>
      </c>
      <c r="C54" s="15">
        <v>19</v>
      </c>
      <c r="D54" s="15">
        <v>39</v>
      </c>
      <c r="F54" s="2" t="s">
        <v>781</v>
      </c>
      <c r="G54" s="15">
        <v>150</v>
      </c>
      <c r="I54" s="2" t="s">
        <v>758</v>
      </c>
      <c r="J54" s="15">
        <v>58</v>
      </c>
    </row>
    <row r="55" spans="1:10" x14ac:dyDescent="0.25">
      <c r="A55" s="2" t="s">
        <v>764</v>
      </c>
      <c r="B55" s="15">
        <v>31</v>
      </c>
      <c r="C55" s="15">
        <v>32</v>
      </c>
      <c r="D55" s="15">
        <v>63</v>
      </c>
      <c r="F55" s="2" t="s">
        <v>782</v>
      </c>
      <c r="G55" s="15">
        <v>29</v>
      </c>
      <c r="I55" s="2" t="s">
        <v>759</v>
      </c>
      <c r="J55" s="15">
        <v>131</v>
      </c>
    </row>
    <row r="56" spans="1:10" x14ac:dyDescent="0.25">
      <c r="A56" s="2" t="s">
        <v>765</v>
      </c>
      <c r="B56" s="15">
        <v>31</v>
      </c>
      <c r="C56" s="15">
        <v>25</v>
      </c>
      <c r="D56" s="15">
        <v>56</v>
      </c>
      <c r="F56" s="2" t="s">
        <v>783</v>
      </c>
      <c r="G56" s="15">
        <v>42</v>
      </c>
      <c r="I56" s="2" t="s">
        <v>760</v>
      </c>
      <c r="J56" s="15">
        <v>111</v>
      </c>
    </row>
    <row r="57" spans="1:10" x14ac:dyDescent="0.25">
      <c r="A57" s="2" t="s">
        <v>766</v>
      </c>
      <c r="B57" s="15">
        <v>25</v>
      </c>
      <c r="C57" s="15">
        <v>24</v>
      </c>
      <c r="D57" s="15">
        <v>49</v>
      </c>
      <c r="F57" s="2" t="s">
        <v>784</v>
      </c>
      <c r="G57" s="15">
        <v>38</v>
      </c>
      <c r="I57" s="2" t="s">
        <v>749</v>
      </c>
      <c r="J57" s="15">
        <v>300</v>
      </c>
    </row>
    <row r="58" spans="1:10" x14ac:dyDescent="0.25">
      <c r="A58" s="2" t="s">
        <v>767</v>
      </c>
      <c r="B58" s="15">
        <v>37</v>
      </c>
      <c r="C58" s="15">
        <v>20</v>
      </c>
      <c r="D58" s="15">
        <v>57</v>
      </c>
      <c r="F58" s="2" t="s">
        <v>785</v>
      </c>
      <c r="G58" s="15">
        <v>37</v>
      </c>
    </row>
    <row r="59" spans="1:10" x14ac:dyDescent="0.25">
      <c r="A59" s="2" t="s">
        <v>768</v>
      </c>
      <c r="B59" s="15">
        <v>24</v>
      </c>
      <c r="C59" s="15">
        <v>12</v>
      </c>
      <c r="D59" s="15">
        <v>36</v>
      </c>
      <c r="F59" s="2" t="s">
        <v>786</v>
      </c>
      <c r="G59" s="15">
        <v>4</v>
      </c>
    </row>
    <row r="60" spans="1:10" x14ac:dyDescent="0.25">
      <c r="A60" s="2" t="s">
        <v>749</v>
      </c>
      <c r="B60" s="15">
        <v>168</v>
      </c>
      <c r="C60" s="15">
        <v>132</v>
      </c>
      <c r="D60" s="15">
        <v>300</v>
      </c>
      <c r="F60" s="2" t="s">
        <v>749</v>
      </c>
      <c r="G60" s="15">
        <v>300</v>
      </c>
    </row>
    <row r="66" spans="1:2" x14ac:dyDescent="0.25">
      <c r="A66" s="1" t="s">
        <v>748</v>
      </c>
      <c r="B66" t="s">
        <v>775</v>
      </c>
    </row>
    <row r="67" spans="1:2" x14ac:dyDescent="0.25">
      <c r="A67" s="2" t="s">
        <v>19</v>
      </c>
      <c r="B67" s="15">
        <v>71058</v>
      </c>
    </row>
    <row r="68" spans="1:2" x14ac:dyDescent="0.25">
      <c r="A68" s="2" t="s">
        <v>24</v>
      </c>
      <c r="B68" s="15">
        <v>68595.5</v>
      </c>
    </row>
    <row r="69" spans="1:2" x14ac:dyDescent="0.25">
      <c r="A69" s="2" t="s">
        <v>27</v>
      </c>
      <c r="B69" s="6">
        <v>76458.824561403511</v>
      </c>
    </row>
    <row r="70" spans="1:2" x14ac:dyDescent="0.25">
      <c r="A70" s="2" t="s">
        <v>12</v>
      </c>
      <c r="B70" s="7">
        <v>78764.175438596489</v>
      </c>
    </row>
    <row r="71" spans="1:2" x14ac:dyDescent="0.25">
      <c r="A71" s="2" t="s">
        <v>34</v>
      </c>
      <c r="B71" s="7">
        <v>69535.790322580651</v>
      </c>
    </row>
    <row r="72" spans="1:2" x14ac:dyDescent="0.25">
      <c r="A72" s="2" t="s">
        <v>749</v>
      </c>
      <c r="B72" s="15">
        <v>72675.573333333334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DA5B-33FA-470C-BDB9-24E1A018E225}">
  <sheetPr>
    <pageSetUpPr fitToPage="1"/>
  </sheetPr>
  <dimension ref="C2:S11"/>
  <sheetViews>
    <sheetView tabSelected="1" zoomScaleNormal="100" workbookViewId="0">
      <selection activeCell="S6" sqref="S6"/>
    </sheetView>
  </sheetViews>
  <sheetFormatPr defaultRowHeight="15" x14ac:dyDescent="0.25"/>
  <cols>
    <col min="1" max="16384" width="9.140625" style="10"/>
  </cols>
  <sheetData>
    <row r="2" spans="3:19" ht="28.5" x14ac:dyDescent="0.45">
      <c r="H2" s="11"/>
      <c r="I2" s="11"/>
      <c r="J2" s="11"/>
      <c r="K2" s="12"/>
      <c r="L2" s="12"/>
      <c r="M2" s="12"/>
    </row>
    <row r="6" spans="3:19" x14ac:dyDescent="0.25">
      <c r="S6" s="10" t="s">
        <v>762</v>
      </c>
    </row>
    <row r="8" spans="3:19" x14ac:dyDescent="0.25">
      <c r="D8" s="13"/>
    </row>
    <row r="11" spans="3:19" x14ac:dyDescent="0.25">
      <c r="C11" s="14"/>
    </row>
  </sheetData>
  <pageMargins left="0.7" right="0.7" top="0.75" bottom="0.75" header="0.3" footer="0.3"/>
  <pageSetup scale="63" orientation="landscape"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6A41-1622-4E8C-9D9B-99118BCB6549}">
  <dimension ref="A1"/>
  <sheetViews>
    <sheetView workbookViewId="0">
      <selection activeCell="K7" sqref="K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Gender and Department Wise</vt:lpstr>
      <vt:lpstr>Department Wise Attrition</vt:lpstr>
      <vt:lpstr>Department and performance Wise</vt:lpstr>
      <vt:lpstr>Department and Salary Wise</vt:lpstr>
      <vt:lpstr>Age and Attrition Wise</vt:lpstr>
      <vt:lpstr>Joining Date Wise</vt:lpstr>
      <vt:lpstr>Exit with in 2 Year</vt:lpstr>
      <vt:lpstr>HR_Data</vt:lpstr>
      <vt:lpstr>Sheet2</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lastPrinted>2026-08-05T08:53:01Z</cp:lastPrinted>
  <dcterms:created xsi:type="dcterms:W3CDTF">2026-03-22T08:12:01Z</dcterms:created>
  <dcterms:modified xsi:type="dcterms:W3CDTF">2026-09-14T13:20:59Z</dcterms:modified>
</cp:coreProperties>
</file>